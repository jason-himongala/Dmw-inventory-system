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A680736-97D0-42B2-9A95-3E9EC6953A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in Dashboard" sheetId="1" r:id="rId1"/>
    <sheet name="Helper Data" sheetId="2" r:id="rId2"/>
    <sheet name="February 23, 2026" sheetId="3" r:id="rId3"/>
    <sheet name="February 26, 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4" l="1"/>
  <c r="K4" i="4"/>
  <c r="K3" i="4"/>
  <c r="K5" i="3"/>
  <c r="K4" i="3"/>
  <c r="K3" i="3"/>
  <c r="E286" i="2"/>
  <c r="C286" i="2"/>
  <c r="B286" i="2"/>
  <c r="A286" i="2"/>
  <c r="E285" i="2"/>
  <c r="C285" i="2"/>
  <c r="B285" i="2"/>
  <c r="A285" i="2"/>
  <c r="E284" i="2"/>
  <c r="C284" i="2"/>
  <c r="B284" i="2"/>
  <c r="A284" i="2"/>
  <c r="E283" i="2"/>
  <c r="C283" i="2"/>
  <c r="B283" i="2"/>
  <c r="A283" i="2"/>
  <c r="E282" i="2"/>
  <c r="C282" i="2"/>
  <c r="B282" i="2"/>
  <c r="A282" i="2"/>
  <c r="E281" i="2"/>
  <c r="C281" i="2"/>
  <c r="B281" i="2"/>
  <c r="A281" i="2"/>
  <c r="E280" i="2"/>
  <c r="C280" i="2"/>
  <c r="B280" i="2"/>
  <c r="A280" i="2"/>
  <c r="E279" i="2"/>
  <c r="C279" i="2"/>
  <c r="B279" i="2"/>
  <c r="A279" i="2"/>
  <c r="E278" i="2"/>
  <c r="C278" i="2"/>
  <c r="B278" i="2"/>
  <c r="A278" i="2"/>
  <c r="E277" i="2"/>
  <c r="C277" i="2"/>
  <c r="B277" i="2"/>
  <c r="A277" i="2"/>
  <c r="E276" i="2"/>
  <c r="C276" i="2"/>
  <c r="B276" i="2"/>
  <c r="A276" i="2"/>
  <c r="E275" i="2"/>
  <c r="C275" i="2"/>
  <c r="B275" i="2"/>
  <c r="A275" i="2"/>
  <c r="E274" i="2"/>
  <c r="C274" i="2"/>
  <c r="B274" i="2"/>
  <c r="A274" i="2"/>
  <c r="E273" i="2"/>
  <c r="C273" i="2"/>
  <c r="B273" i="2"/>
  <c r="A273" i="2"/>
  <c r="E272" i="2"/>
  <c r="C272" i="2"/>
  <c r="B272" i="2"/>
  <c r="A272" i="2"/>
  <c r="E271" i="2"/>
  <c r="C271" i="2"/>
  <c r="B271" i="2"/>
  <c r="A271" i="2"/>
  <c r="E270" i="2"/>
  <c r="C270" i="2"/>
  <c r="B270" i="2"/>
  <c r="A270" i="2"/>
  <c r="E269" i="2"/>
  <c r="C269" i="2"/>
  <c r="B269" i="2"/>
  <c r="A269" i="2"/>
  <c r="E268" i="2"/>
  <c r="C268" i="2"/>
  <c r="B268" i="2"/>
  <c r="A268" i="2"/>
  <c r="E267" i="2"/>
  <c r="C267" i="2"/>
  <c r="B267" i="2"/>
  <c r="A267" i="2"/>
  <c r="E266" i="2"/>
  <c r="C266" i="2"/>
  <c r="B266" i="2"/>
  <c r="A266" i="2"/>
  <c r="E265" i="2"/>
  <c r="C265" i="2"/>
  <c r="B265" i="2"/>
  <c r="A265" i="2"/>
  <c r="E264" i="2"/>
  <c r="C264" i="2"/>
  <c r="B264" i="2"/>
  <c r="A264" i="2"/>
  <c r="E263" i="2"/>
  <c r="C263" i="2"/>
  <c r="B263" i="2"/>
  <c r="A263" i="2"/>
  <c r="E262" i="2"/>
  <c r="C262" i="2"/>
  <c r="B262" i="2"/>
  <c r="A262" i="2"/>
  <c r="E261" i="2"/>
  <c r="C261" i="2"/>
  <c r="B261" i="2"/>
  <c r="A261" i="2"/>
  <c r="E260" i="2"/>
  <c r="C260" i="2"/>
  <c r="B260" i="2"/>
  <c r="A260" i="2"/>
  <c r="E259" i="2"/>
  <c r="C259" i="2"/>
  <c r="B259" i="2"/>
  <c r="A259" i="2"/>
  <c r="E258" i="2"/>
  <c r="C258" i="2"/>
  <c r="B258" i="2"/>
  <c r="A258" i="2"/>
  <c r="E257" i="2"/>
  <c r="C257" i="2"/>
  <c r="B257" i="2"/>
  <c r="A257" i="2"/>
  <c r="E256" i="2"/>
  <c r="C256" i="2"/>
  <c r="B256" i="2"/>
  <c r="A256" i="2"/>
  <c r="E255" i="2"/>
  <c r="C255" i="2"/>
  <c r="B255" i="2"/>
  <c r="A255" i="2"/>
  <c r="E254" i="2"/>
  <c r="C254" i="2"/>
  <c r="B254" i="2"/>
  <c r="A254" i="2"/>
  <c r="E253" i="2"/>
  <c r="C253" i="2"/>
  <c r="B253" i="2"/>
  <c r="A253" i="2"/>
  <c r="E252" i="2"/>
  <c r="C252" i="2"/>
  <c r="B252" i="2"/>
  <c r="A252" i="2"/>
  <c r="E251" i="2"/>
  <c r="C251" i="2"/>
  <c r="B251" i="2"/>
  <c r="A251" i="2"/>
  <c r="E250" i="2"/>
  <c r="C250" i="2"/>
  <c r="B250" i="2"/>
  <c r="A250" i="2"/>
  <c r="E249" i="2"/>
  <c r="C249" i="2"/>
  <c r="B249" i="2"/>
  <c r="A249" i="2"/>
  <c r="E248" i="2"/>
  <c r="C248" i="2"/>
  <c r="B248" i="2"/>
  <c r="A248" i="2"/>
  <c r="E247" i="2"/>
  <c r="C247" i="2"/>
  <c r="B247" i="2"/>
  <c r="A247" i="2"/>
  <c r="E246" i="2"/>
  <c r="C246" i="2"/>
  <c r="B246" i="2"/>
  <c r="A246" i="2"/>
  <c r="E245" i="2"/>
  <c r="C245" i="2"/>
  <c r="B245" i="2"/>
  <c r="A245" i="2"/>
  <c r="E244" i="2"/>
  <c r="C244" i="2"/>
  <c r="B244" i="2"/>
  <c r="A244" i="2"/>
  <c r="E243" i="2"/>
  <c r="C243" i="2"/>
  <c r="B243" i="2"/>
  <c r="A243" i="2"/>
  <c r="E242" i="2"/>
  <c r="C242" i="2"/>
  <c r="B242" i="2"/>
  <c r="A242" i="2"/>
  <c r="E241" i="2"/>
  <c r="C241" i="2"/>
  <c r="B241" i="2"/>
  <c r="A241" i="2"/>
  <c r="E240" i="2"/>
  <c r="C240" i="2"/>
  <c r="B240" i="2"/>
  <c r="A240" i="2"/>
  <c r="E239" i="2"/>
  <c r="C239" i="2"/>
  <c r="B239" i="2"/>
  <c r="A239" i="2"/>
  <c r="E238" i="2"/>
  <c r="C238" i="2"/>
  <c r="B238" i="2"/>
  <c r="A238" i="2"/>
  <c r="E237" i="2"/>
  <c r="C237" i="2"/>
  <c r="B237" i="2"/>
  <c r="A237" i="2"/>
  <c r="E236" i="2"/>
  <c r="C236" i="2"/>
  <c r="B236" i="2"/>
  <c r="A236" i="2"/>
  <c r="E235" i="2"/>
  <c r="C235" i="2"/>
  <c r="B235" i="2"/>
  <c r="A235" i="2"/>
  <c r="E234" i="2"/>
  <c r="C234" i="2"/>
  <c r="B234" i="2"/>
  <c r="A234" i="2"/>
  <c r="E233" i="2"/>
  <c r="C233" i="2"/>
  <c r="B233" i="2"/>
  <c r="A233" i="2"/>
  <c r="E232" i="2"/>
  <c r="C232" i="2"/>
  <c r="B232" i="2"/>
  <c r="A232" i="2"/>
  <c r="E231" i="2"/>
  <c r="C231" i="2"/>
  <c r="B231" i="2"/>
  <c r="A231" i="2"/>
  <c r="E230" i="2"/>
  <c r="C230" i="2"/>
  <c r="B230" i="2"/>
  <c r="A230" i="2"/>
  <c r="E229" i="2"/>
  <c r="C229" i="2"/>
  <c r="B229" i="2"/>
  <c r="A229" i="2"/>
  <c r="E228" i="2"/>
  <c r="C228" i="2"/>
  <c r="B228" i="2"/>
  <c r="A228" i="2"/>
  <c r="E227" i="2"/>
  <c r="C227" i="2"/>
  <c r="B227" i="2"/>
  <c r="A227" i="2"/>
  <c r="E226" i="2"/>
  <c r="C226" i="2"/>
  <c r="B226" i="2"/>
  <c r="A226" i="2"/>
  <c r="E225" i="2"/>
  <c r="C225" i="2"/>
  <c r="B225" i="2"/>
  <c r="A225" i="2"/>
  <c r="E224" i="2"/>
  <c r="C224" i="2"/>
  <c r="B224" i="2"/>
  <c r="A224" i="2"/>
  <c r="E223" i="2"/>
  <c r="C223" i="2"/>
  <c r="B223" i="2"/>
  <c r="A223" i="2"/>
  <c r="E222" i="2"/>
  <c r="C222" i="2"/>
  <c r="B222" i="2"/>
  <c r="A222" i="2"/>
  <c r="E221" i="2"/>
  <c r="C221" i="2"/>
  <c r="B221" i="2"/>
  <c r="A221" i="2"/>
  <c r="E220" i="2"/>
  <c r="C220" i="2"/>
  <c r="B220" i="2"/>
  <c r="A220" i="2"/>
  <c r="E219" i="2"/>
  <c r="C219" i="2"/>
  <c r="B219" i="2"/>
  <c r="A219" i="2"/>
  <c r="E218" i="2"/>
  <c r="C218" i="2"/>
  <c r="B218" i="2"/>
  <c r="A218" i="2"/>
  <c r="E217" i="2"/>
  <c r="C217" i="2"/>
  <c r="B217" i="2"/>
  <c r="A217" i="2"/>
  <c r="E216" i="2"/>
  <c r="C216" i="2"/>
  <c r="B216" i="2"/>
  <c r="A216" i="2"/>
  <c r="E215" i="2"/>
  <c r="C215" i="2"/>
  <c r="B215" i="2"/>
  <c r="A215" i="2"/>
  <c r="E214" i="2"/>
  <c r="C214" i="2"/>
  <c r="B214" i="2"/>
  <c r="A214" i="2"/>
  <c r="E213" i="2"/>
  <c r="C213" i="2"/>
  <c r="B213" i="2"/>
  <c r="A213" i="2"/>
  <c r="E212" i="2"/>
  <c r="C212" i="2"/>
  <c r="B212" i="2"/>
  <c r="A212" i="2"/>
  <c r="E211" i="2"/>
  <c r="C211" i="2"/>
  <c r="B211" i="2"/>
  <c r="A211" i="2"/>
  <c r="E210" i="2"/>
  <c r="C210" i="2"/>
  <c r="B210" i="2"/>
  <c r="A210" i="2"/>
  <c r="E209" i="2"/>
  <c r="D209" i="2"/>
  <c r="C209" i="2"/>
  <c r="B209" i="2"/>
  <c r="A209" i="2"/>
  <c r="E208" i="2"/>
  <c r="D208" i="2"/>
  <c r="C208" i="2"/>
  <c r="B208" i="2"/>
  <c r="A208" i="2"/>
  <c r="E207" i="2"/>
  <c r="C207" i="2"/>
  <c r="B207" i="2"/>
  <c r="A207" i="2"/>
  <c r="E206" i="2"/>
  <c r="D206" i="2"/>
  <c r="C206" i="2"/>
  <c r="B206" i="2"/>
  <c r="A206" i="2"/>
  <c r="E205" i="2"/>
  <c r="D205" i="2"/>
  <c r="C205" i="2"/>
  <c r="B205" i="2"/>
  <c r="A205" i="2"/>
  <c r="E204" i="2"/>
  <c r="C204" i="2"/>
  <c r="B204" i="2"/>
  <c r="A204" i="2"/>
  <c r="E203" i="2"/>
  <c r="D203" i="2"/>
  <c r="C203" i="2"/>
  <c r="B203" i="2"/>
  <c r="A203" i="2"/>
  <c r="E202" i="2"/>
  <c r="D202" i="2"/>
  <c r="C202" i="2"/>
  <c r="B202" i="2"/>
  <c r="A202" i="2"/>
  <c r="E201" i="2"/>
  <c r="D201" i="2"/>
  <c r="C201" i="2"/>
  <c r="B201" i="2"/>
  <c r="A201" i="2"/>
  <c r="E200" i="2"/>
  <c r="D200" i="2"/>
  <c r="C200" i="2"/>
  <c r="B200" i="2"/>
  <c r="A200" i="2"/>
  <c r="E199" i="2"/>
  <c r="D199" i="2"/>
  <c r="C199" i="2"/>
  <c r="B199" i="2"/>
  <c r="A199" i="2"/>
  <c r="E198" i="2"/>
  <c r="D198" i="2"/>
  <c r="C198" i="2"/>
  <c r="B198" i="2"/>
  <c r="A198" i="2"/>
  <c r="E197" i="2"/>
  <c r="D197" i="2"/>
  <c r="C197" i="2"/>
  <c r="B197" i="2"/>
  <c r="A197" i="2"/>
  <c r="E196" i="2"/>
  <c r="D196" i="2"/>
  <c r="C196" i="2"/>
  <c r="B196" i="2"/>
  <c r="A196" i="2"/>
  <c r="E195" i="2"/>
  <c r="D195" i="2"/>
  <c r="C195" i="2"/>
  <c r="B195" i="2"/>
  <c r="A195" i="2"/>
  <c r="E194" i="2"/>
  <c r="D194" i="2"/>
  <c r="C194" i="2"/>
  <c r="B194" i="2"/>
  <c r="A194" i="2"/>
  <c r="E193" i="2"/>
  <c r="C193" i="2"/>
  <c r="B193" i="2"/>
  <c r="A193" i="2"/>
  <c r="E192" i="2"/>
  <c r="D192" i="2"/>
  <c r="C192" i="2"/>
  <c r="B192" i="2"/>
  <c r="A192" i="2"/>
  <c r="E191" i="2"/>
  <c r="C191" i="2"/>
  <c r="B191" i="2"/>
  <c r="A191" i="2"/>
  <c r="E190" i="2"/>
  <c r="D190" i="2"/>
  <c r="C190" i="2"/>
  <c r="B190" i="2"/>
  <c r="A190" i="2"/>
  <c r="E189" i="2"/>
  <c r="D189" i="2"/>
  <c r="C189" i="2"/>
  <c r="B189" i="2"/>
  <c r="A189" i="2"/>
  <c r="E188" i="2"/>
  <c r="D188" i="2"/>
  <c r="C188" i="2"/>
  <c r="B188" i="2"/>
  <c r="A188" i="2"/>
  <c r="E187" i="2"/>
  <c r="C187" i="2"/>
  <c r="B187" i="2"/>
  <c r="A187" i="2"/>
  <c r="E186" i="2"/>
  <c r="D186" i="2"/>
  <c r="C186" i="2"/>
  <c r="B186" i="2"/>
  <c r="A186" i="2"/>
  <c r="E185" i="2"/>
  <c r="D185" i="2"/>
  <c r="C185" i="2"/>
  <c r="B185" i="2"/>
  <c r="A185" i="2"/>
  <c r="E184" i="2"/>
  <c r="C184" i="2"/>
  <c r="B184" i="2"/>
  <c r="A184" i="2"/>
  <c r="E183" i="2"/>
  <c r="D183" i="2"/>
  <c r="C183" i="2"/>
  <c r="B183" i="2"/>
  <c r="A183" i="2"/>
  <c r="E182" i="2"/>
  <c r="D182" i="2"/>
  <c r="C182" i="2"/>
  <c r="B182" i="2"/>
  <c r="A182" i="2"/>
  <c r="E181" i="2"/>
  <c r="D181" i="2"/>
  <c r="C181" i="2"/>
  <c r="B181" i="2"/>
  <c r="A181" i="2"/>
  <c r="E180" i="2"/>
  <c r="D180" i="2"/>
  <c r="C180" i="2"/>
  <c r="B180" i="2"/>
  <c r="A180" i="2"/>
  <c r="C179" i="2"/>
  <c r="B179" i="2"/>
  <c r="A179" i="2"/>
  <c r="E178" i="2"/>
  <c r="D178" i="2"/>
  <c r="C178" i="2"/>
  <c r="B178" i="2"/>
  <c r="A178" i="2"/>
  <c r="E177" i="2"/>
  <c r="D177" i="2"/>
  <c r="C177" i="2"/>
  <c r="B177" i="2"/>
  <c r="A177" i="2"/>
  <c r="E176" i="2"/>
  <c r="D176" i="2"/>
  <c r="C176" i="2"/>
  <c r="B176" i="2"/>
  <c r="A176" i="2"/>
  <c r="E175" i="2"/>
  <c r="D175" i="2"/>
  <c r="C175" i="2"/>
  <c r="B175" i="2"/>
  <c r="A175" i="2"/>
  <c r="E174" i="2"/>
  <c r="C174" i="2"/>
  <c r="B174" i="2"/>
  <c r="A174" i="2"/>
  <c r="E173" i="2"/>
  <c r="D173" i="2"/>
  <c r="C173" i="2"/>
  <c r="B173" i="2"/>
  <c r="A173" i="2"/>
  <c r="E172" i="2"/>
  <c r="D172" i="2"/>
  <c r="C172" i="2"/>
  <c r="B172" i="2"/>
  <c r="A172" i="2"/>
  <c r="E171" i="2"/>
  <c r="D171" i="2"/>
  <c r="C171" i="2"/>
  <c r="B171" i="2"/>
  <c r="A171" i="2"/>
  <c r="E170" i="2"/>
  <c r="D170" i="2"/>
  <c r="C170" i="2"/>
  <c r="B170" i="2"/>
  <c r="A170" i="2"/>
  <c r="E169" i="2"/>
  <c r="D169" i="2"/>
  <c r="C169" i="2"/>
  <c r="B169" i="2"/>
  <c r="A169" i="2"/>
  <c r="E168" i="2"/>
  <c r="C168" i="2"/>
  <c r="B168" i="2"/>
  <c r="A168" i="2"/>
  <c r="E167" i="2"/>
  <c r="D167" i="2"/>
  <c r="C167" i="2"/>
  <c r="B167" i="2"/>
  <c r="A167" i="2"/>
  <c r="E166" i="2"/>
  <c r="D166" i="2"/>
  <c r="C166" i="2"/>
  <c r="B166" i="2"/>
  <c r="A166" i="2"/>
  <c r="E165" i="2"/>
  <c r="D165" i="2"/>
  <c r="C165" i="2"/>
  <c r="B165" i="2"/>
  <c r="A165" i="2"/>
  <c r="E164" i="2"/>
  <c r="C164" i="2"/>
  <c r="B164" i="2"/>
  <c r="A164" i="2"/>
  <c r="E163" i="2"/>
  <c r="D163" i="2"/>
  <c r="C163" i="2"/>
  <c r="B163" i="2"/>
  <c r="A163" i="2"/>
  <c r="E162" i="2"/>
  <c r="D162" i="2"/>
  <c r="C162" i="2"/>
  <c r="B162" i="2"/>
  <c r="A162" i="2"/>
  <c r="E161" i="2"/>
  <c r="D161" i="2"/>
  <c r="C161" i="2"/>
  <c r="B161" i="2"/>
  <c r="A161" i="2"/>
  <c r="E160" i="2"/>
  <c r="D160" i="2"/>
  <c r="C160" i="2"/>
  <c r="B160" i="2"/>
  <c r="A160" i="2"/>
  <c r="E159" i="2"/>
  <c r="D159" i="2"/>
  <c r="C159" i="2"/>
  <c r="B159" i="2"/>
  <c r="A159" i="2"/>
  <c r="E158" i="2"/>
  <c r="D158" i="2"/>
  <c r="C158" i="2"/>
  <c r="B158" i="2"/>
  <c r="A158" i="2"/>
  <c r="E157" i="2"/>
  <c r="C157" i="2"/>
  <c r="B157" i="2"/>
  <c r="A157" i="2"/>
  <c r="E156" i="2"/>
  <c r="C156" i="2"/>
  <c r="B156" i="2"/>
  <c r="A156" i="2"/>
  <c r="E155" i="2"/>
  <c r="C155" i="2"/>
  <c r="B155" i="2"/>
  <c r="A155" i="2"/>
  <c r="E154" i="2"/>
  <c r="C154" i="2"/>
  <c r="B154" i="2"/>
  <c r="A154" i="2"/>
  <c r="E153" i="2"/>
  <c r="C153" i="2"/>
  <c r="B153" i="2"/>
  <c r="A153" i="2"/>
  <c r="E152" i="2"/>
  <c r="C152" i="2"/>
  <c r="B152" i="2"/>
  <c r="A152" i="2"/>
  <c r="E151" i="2"/>
  <c r="C151" i="2"/>
  <c r="B151" i="2"/>
  <c r="A151" i="2"/>
  <c r="E150" i="2"/>
  <c r="C150" i="2"/>
  <c r="B150" i="2"/>
  <c r="A150" i="2"/>
  <c r="E149" i="2"/>
  <c r="C149" i="2"/>
  <c r="B149" i="2"/>
  <c r="A149" i="2"/>
  <c r="E148" i="2"/>
  <c r="C148" i="2"/>
  <c r="B148" i="2"/>
  <c r="A148" i="2"/>
  <c r="E147" i="2"/>
  <c r="C147" i="2"/>
  <c r="B147" i="2"/>
  <c r="A147" i="2"/>
  <c r="E146" i="2"/>
  <c r="C146" i="2"/>
  <c r="B146" i="2"/>
  <c r="A146" i="2"/>
  <c r="E145" i="2"/>
  <c r="C145" i="2"/>
  <c r="B145" i="2"/>
  <c r="A145" i="2"/>
  <c r="E144" i="2"/>
  <c r="C144" i="2"/>
  <c r="B144" i="2"/>
  <c r="A144" i="2"/>
  <c r="E143" i="2"/>
  <c r="C143" i="2"/>
  <c r="B143" i="2"/>
  <c r="A143" i="2"/>
  <c r="E142" i="2"/>
  <c r="C142" i="2"/>
  <c r="B142" i="2"/>
  <c r="A142" i="2"/>
  <c r="E141" i="2"/>
  <c r="C141" i="2"/>
  <c r="B141" i="2"/>
  <c r="A141" i="2"/>
  <c r="E140" i="2"/>
  <c r="C140" i="2"/>
  <c r="B140" i="2"/>
  <c r="A140" i="2"/>
  <c r="E139" i="2"/>
  <c r="C139" i="2"/>
  <c r="B139" i="2"/>
  <c r="A139" i="2"/>
  <c r="E138" i="2"/>
  <c r="C138" i="2"/>
  <c r="B138" i="2"/>
  <c r="A138" i="2"/>
  <c r="E137" i="2"/>
  <c r="C137" i="2"/>
  <c r="B137" i="2"/>
  <c r="A137" i="2"/>
  <c r="E136" i="2"/>
  <c r="C136" i="2"/>
  <c r="B136" i="2"/>
  <c r="A136" i="2"/>
  <c r="E135" i="2"/>
  <c r="C135" i="2"/>
  <c r="B135" i="2"/>
  <c r="A135" i="2"/>
  <c r="E134" i="2"/>
  <c r="C134" i="2"/>
  <c r="B134" i="2"/>
  <c r="A134" i="2"/>
  <c r="E133" i="2"/>
  <c r="C133" i="2"/>
  <c r="B133" i="2"/>
  <c r="A133" i="2"/>
  <c r="E132" i="2"/>
  <c r="C132" i="2"/>
  <c r="B132" i="2"/>
  <c r="A132" i="2"/>
  <c r="E131" i="2"/>
  <c r="D131" i="2"/>
  <c r="B131" i="2"/>
  <c r="A131" i="2"/>
  <c r="E130" i="2"/>
  <c r="D130" i="2"/>
  <c r="B130" i="2"/>
  <c r="A130" i="2"/>
  <c r="E129" i="2"/>
  <c r="B129" i="2"/>
  <c r="A129" i="2"/>
  <c r="E128" i="2"/>
  <c r="B128" i="2"/>
  <c r="A128" i="2"/>
  <c r="E127" i="2"/>
  <c r="D127" i="2"/>
  <c r="B127" i="2"/>
  <c r="A127" i="2"/>
  <c r="E126" i="2"/>
  <c r="B126" i="2"/>
  <c r="A126" i="2"/>
  <c r="E125" i="2"/>
  <c r="B125" i="2"/>
  <c r="A125" i="2"/>
  <c r="E124" i="2"/>
  <c r="B124" i="2"/>
  <c r="A124" i="2"/>
  <c r="E123" i="2"/>
  <c r="B123" i="2"/>
  <c r="A123" i="2"/>
  <c r="E122" i="2"/>
  <c r="B122" i="2"/>
  <c r="A122" i="2"/>
  <c r="E121" i="2"/>
  <c r="D121" i="2"/>
  <c r="B121" i="2"/>
  <c r="A121" i="2"/>
  <c r="E120" i="2"/>
  <c r="B120" i="2"/>
  <c r="A120" i="2"/>
  <c r="E119" i="2"/>
  <c r="D119" i="2"/>
  <c r="B119" i="2"/>
  <c r="A119" i="2"/>
  <c r="E118" i="2"/>
  <c r="D118" i="2"/>
  <c r="B118" i="2"/>
  <c r="A118" i="2"/>
  <c r="E117" i="2"/>
  <c r="B117" i="2"/>
  <c r="A117" i="2"/>
  <c r="E116" i="2"/>
  <c r="D116" i="2"/>
  <c r="B116" i="2"/>
  <c r="A116" i="2"/>
  <c r="E115" i="2"/>
  <c r="D115" i="2"/>
  <c r="B115" i="2"/>
  <c r="A115" i="2"/>
  <c r="E114" i="2"/>
  <c r="B114" i="2"/>
  <c r="A114" i="2"/>
  <c r="E113" i="2"/>
  <c r="B113" i="2"/>
  <c r="A113" i="2"/>
  <c r="E112" i="2"/>
  <c r="B112" i="2"/>
  <c r="A112" i="2"/>
  <c r="E111" i="2"/>
  <c r="B111" i="2"/>
  <c r="A111" i="2"/>
  <c r="E110" i="2"/>
  <c r="B110" i="2"/>
  <c r="A110" i="2"/>
  <c r="E109" i="2"/>
  <c r="D109" i="2"/>
  <c r="B109" i="2"/>
  <c r="A109" i="2"/>
  <c r="E108" i="2"/>
  <c r="D108" i="2"/>
  <c r="B108" i="2"/>
  <c r="A108" i="2"/>
  <c r="E107" i="2"/>
  <c r="B107" i="2"/>
  <c r="A107" i="2"/>
  <c r="E106" i="2"/>
  <c r="D106" i="2"/>
  <c r="C106" i="2"/>
  <c r="B106" i="2"/>
  <c r="A106" i="2"/>
  <c r="E105" i="2"/>
  <c r="D105" i="2"/>
  <c r="C105" i="2"/>
  <c r="B105" i="2"/>
  <c r="A105" i="2"/>
  <c r="E104" i="2"/>
  <c r="D104" i="2"/>
  <c r="C104" i="2"/>
  <c r="B104" i="2"/>
  <c r="A104" i="2"/>
  <c r="E103" i="2"/>
  <c r="D103" i="2"/>
  <c r="C103" i="2"/>
  <c r="B103" i="2"/>
  <c r="A103" i="2"/>
  <c r="E102" i="2"/>
  <c r="C102" i="2"/>
  <c r="B102" i="2"/>
  <c r="A102" i="2"/>
  <c r="E101" i="2"/>
  <c r="C101" i="2"/>
  <c r="B101" i="2"/>
  <c r="A101" i="2"/>
  <c r="E100" i="2"/>
  <c r="C100" i="2"/>
  <c r="B100" i="2"/>
  <c r="A100" i="2"/>
  <c r="E99" i="2"/>
  <c r="D99" i="2"/>
  <c r="C99" i="2"/>
  <c r="B99" i="2"/>
  <c r="A99" i="2"/>
  <c r="E98" i="2"/>
  <c r="C98" i="2"/>
  <c r="B98" i="2"/>
  <c r="A98" i="2"/>
  <c r="E97" i="2"/>
  <c r="D97" i="2"/>
  <c r="C97" i="2"/>
  <c r="B97" i="2"/>
  <c r="A97" i="2"/>
  <c r="E96" i="2"/>
  <c r="C96" i="2"/>
  <c r="B96" i="2"/>
  <c r="A96" i="2"/>
  <c r="E95" i="2"/>
  <c r="C95" i="2"/>
  <c r="B95" i="2"/>
  <c r="A95" i="2"/>
  <c r="E94" i="2"/>
  <c r="D94" i="2"/>
  <c r="C94" i="2"/>
  <c r="B94" i="2"/>
  <c r="A94" i="2"/>
  <c r="E93" i="2"/>
  <c r="C93" i="2"/>
  <c r="B93" i="2"/>
  <c r="A93" i="2"/>
  <c r="E92" i="2"/>
  <c r="C92" i="2"/>
  <c r="B92" i="2"/>
  <c r="A92" i="2"/>
  <c r="E91" i="2"/>
  <c r="C91" i="2"/>
  <c r="B91" i="2"/>
  <c r="A91" i="2"/>
  <c r="E90" i="2"/>
  <c r="C90" i="2"/>
  <c r="B90" i="2"/>
  <c r="A90" i="2"/>
  <c r="E89" i="2"/>
  <c r="C89" i="2"/>
  <c r="B89" i="2"/>
  <c r="A89" i="2"/>
  <c r="E88" i="2"/>
  <c r="D88" i="2"/>
  <c r="C88" i="2"/>
  <c r="B88" i="2"/>
  <c r="A88" i="2"/>
  <c r="E87" i="2"/>
  <c r="C87" i="2"/>
  <c r="B87" i="2"/>
  <c r="A87" i="2"/>
  <c r="E86" i="2"/>
  <c r="C86" i="2"/>
  <c r="B86" i="2"/>
  <c r="A86" i="2"/>
  <c r="E85" i="2"/>
  <c r="D85" i="2"/>
  <c r="C85" i="2"/>
  <c r="B85" i="2"/>
  <c r="A85" i="2"/>
  <c r="E84" i="2"/>
  <c r="D84" i="2"/>
  <c r="C84" i="2"/>
  <c r="B84" i="2"/>
  <c r="A84" i="2"/>
  <c r="E83" i="2"/>
  <c r="C83" i="2"/>
  <c r="B83" i="2"/>
  <c r="A83" i="2"/>
  <c r="E82" i="2"/>
  <c r="C82" i="2"/>
  <c r="B82" i="2"/>
  <c r="A82" i="2"/>
  <c r="E81" i="2"/>
  <c r="C81" i="2"/>
  <c r="B81" i="2"/>
  <c r="A81" i="2"/>
  <c r="E80" i="2"/>
  <c r="D80" i="2"/>
  <c r="C80" i="2"/>
  <c r="B80" i="2"/>
  <c r="A80" i="2"/>
  <c r="E79" i="2"/>
  <c r="C79" i="2"/>
  <c r="B79" i="2"/>
  <c r="A79" i="2"/>
  <c r="E78" i="2"/>
  <c r="C78" i="2"/>
  <c r="B78" i="2"/>
  <c r="A78" i="2"/>
  <c r="E77" i="2"/>
  <c r="C77" i="2"/>
  <c r="B77" i="2"/>
  <c r="A77" i="2"/>
  <c r="E76" i="2"/>
  <c r="C76" i="2"/>
  <c r="B76" i="2"/>
  <c r="A76" i="2"/>
  <c r="E75" i="2"/>
  <c r="C75" i="2"/>
  <c r="B75" i="2"/>
  <c r="A75" i="2"/>
  <c r="E74" i="2"/>
  <c r="C74" i="2"/>
  <c r="B74" i="2"/>
  <c r="A74" i="2"/>
  <c r="E73" i="2"/>
  <c r="C73" i="2"/>
  <c r="B73" i="2"/>
  <c r="A73" i="2"/>
  <c r="E72" i="2"/>
  <c r="C72" i="2"/>
  <c r="B72" i="2"/>
  <c r="A72" i="2"/>
  <c r="E71" i="2"/>
  <c r="C71" i="2"/>
  <c r="B71" i="2"/>
  <c r="A71" i="2"/>
  <c r="E70" i="2"/>
  <c r="C70" i="2"/>
  <c r="B70" i="2"/>
  <c r="A70" i="2"/>
  <c r="E69" i="2"/>
  <c r="C69" i="2"/>
  <c r="B69" i="2"/>
  <c r="A69" i="2"/>
  <c r="E68" i="2"/>
  <c r="C68" i="2"/>
  <c r="B68" i="2"/>
  <c r="A68" i="2"/>
  <c r="E67" i="2"/>
  <c r="C67" i="2"/>
  <c r="B67" i="2"/>
  <c r="A67" i="2"/>
  <c r="E66" i="2"/>
  <c r="C66" i="2"/>
  <c r="B66" i="2"/>
  <c r="A66" i="2"/>
  <c r="E65" i="2"/>
  <c r="C65" i="2"/>
  <c r="B65" i="2"/>
  <c r="A65" i="2"/>
  <c r="E64" i="2"/>
  <c r="C64" i="2"/>
  <c r="B64" i="2"/>
  <c r="A64" i="2"/>
  <c r="E63" i="2"/>
  <c r="C63" i="2"/>
  <c r="B63" i="2"/>
  <c r="A63" i="2"/>
  <c r="E62" i="2"/>
  <c r="C62" i="2"/>
  <c r="B62" i="2"/>
  <c r="A62" i="2"/>
  <c r="E61" i="2"/>
  <c r="C61" i="2"/>
  <c r="B61" i="2"/>
  <c r="A61" i="2"/>
  <c r="E60" i="2"/>
  <c r="C60" i="2"/>
  <c r="B60" i="2"/>
  <c r="A60" i="2"/>
  <c r="E59" i="2"/>
  <c r="C59" i="2"/>
  <c r="B59" i="2"/>
  <c r="A59" i="2"/>
  <c r="E58" i="2"/>
  <c r="C58" i="2"/>
  <c r="B58" i="2"/>
  <c r="A58" i="2"/>
  <c r="E57" i="2"/>
  <c r="C57" i="2"/>
  <c r="B57" i="2"/>
  <c r="A57" i="2"/>
  <c r="E56" i="2"/>
  <c r="C56" i="2"/>
  <c r="B56" i="2"/>
  <c r="A56" i="2"/>
  <c r="E55" i="2"/>
  <c r="C55" i="2"/>
  <c r="B55" i="2"/>
  <c r="A55" i="2"/>
  <c r="E54" i="2"/>
  <c r="C54" i="2"/>
  <c r="B54" i="2"/>
  <c r="A54" i="2"/>
  <c r="E53" i="2"/>
  <c r="C53" i="2"/>
  <c r="B53" i="2"/>
  <c r="A53" i="2"/>
  <c r="E52" i="2"/>
  <c r="C52" i="2"/>
  <c r="B52" i="2"/>
  <c r="A52" i="2"/>
  <c r="E51" i="2"/>
  <c r="C51" i="2"/>
  <c r="B51" i="2"/>
  <c r="A51" i="2"/>
  <c r="E50" i="2"/>
  <c r="C50" i="2"/>
  <c r="B50" i="2"/>
  <c r="A50" i="2"/>
  <c r="E49" i="2"/>
  <c r="C49" i="2"/>
  <c r="B49" i="2"/>
  <c r="A49" i="2"/>
  <c r="E48" i="2"/>
  <c r="C48" i="2"/>
  <c r="B48" i="2"/>
  <c r="A48" i="2"/>
  <c r="E47" i="2"/>
  <c r="C47" i="2"/>
  <c r="B47" i="2"/>
  <c r="A47" i="2"/>
  <c r="E46" i="2"/>
  <c r="C46" i="2"/>
  <c r="B46" i="2"/>
  <c r="A46" i="2"/>
  <c r="E45" i="2"/>
  <c r="C45" i="2"/>
  <c r="B45" i="2"/>
  <c r="A45" i="2"/>
  <c r="E44" i="2"/>
  <c r="C44" i="2"/>
  <c r="B44" i="2"/>
  <c r="A44" i="2"/>
  <c r="E43" i="2"/>
  <c r="C43" i="2"/>
  <c r="B43" i="2"/>
  <c r="A43" i="2"/>
  <c r="E42" i="2"/>
  <c r="C42" i="2"/>
  <c r="B42" i="2"/>
  <c r="A42" i="2"/>
  <c r="E41" i="2"/>
  <c r="C41" i="2"/>
  <c r="B41" i="2"/>
  <c r="A41" i="2"/>
  <c r="E40" i="2"/>
  <c r="C40" i="2"/>
  <c r="B40" i="2"/>
  <c r="A40" i="2"/>
  <c r="E39" i="2"/>
  <c r="C39" i="2"/>
  <c r="B39" i="2"/>
  <c r="A39" i="2"/>
  <c r="E38" i="2"/>
  <c r="C38" i="2"/>
  <c r="B38" i="2"/>
  <c r="A38" i="2"/>
  <c r="E37" i="2"/>
  <c r="C37" i="2"/>
  <c r="B37" i="2"/>
  <c r="A37" i="2"/>
  <c r="E36" i="2"/>
  <c r="C36" i="2"/>
  <c r="B36" i="2"/>
  <c r="A36" i="2"/>
  <c r="E35" i="2"/>
  <c r="C35" i="2"/>
  <c r="B35" i="2"/>
  <c r="A35" i="2"/>
  <c r="E34" i="2"/>
  <c r="C34" i="2"/>
  <c r="B34" i="2"/>
  <c r="A34" i="2"/>
  <c r="E33" i="2"/>
  <c r="C33" i="2"/>
  <c r="B33" i="2"/>
  <c r="A33" i="2"/>
  <c r="E32" i="2"/>
  <c r="C32" i="2"/>
  <c r="B32" i="2"/>
  <c r="A32" i="2"/>
  <c r="E31" i="2"/>
  <c r="C31" i="2"/>
  <c r="B31" i="2"/>
  <c r="A31" i="2"/>
  <c r="E30" i="2"/>
  <c r="C30" i="2"/>
  <c r="B30" i="2"/>
  <c r="A30" i="2"/>
  <c r="E29" i="2"/>
  <c r="C29" i="2"/>
  <c r="B29" i="2"/>
  <c r="A29" i="2"/>
  <c r="E28" i="2"/>
  <c r="C28" i="2"/>
  <c r="B28" i="2"/>
  <c r="A28" i="2"/>
  <c r="E27" i="2"/>
  <c r="D27" i="2"/>
  <c r="C27" i="2"/>
  <c r="B27" i="2"/>
  <c r="A27" i="2"/>
  <c r="C26" i="2"/>
  <c r="B26" i="2"/>
  <c r="A26" i="2"/>
  <c r="E25" i="2"/>
  <c r="D25" i="2"/>
  <c r="C25" i="2"/>
  <c r="B25" i="2"/>
  <c r="A25" i="2"/>
  <c r="E24" i="2"/>
  <c r="D24" i="2"/>
  <c r="C24" i="2"/>
  <c r="B24" i="2"/>
  <c r="A24" i="2"/>
  <c r="E23" i="2"/>
  <c r="D23" i="2"/>
  <c r="C23" i="2"/>
  <c r="B23" i="2"/>
  <c r="A23" i="2"/>
  <c r="E22" i="2"/>
  <c r="D22" i="2"/>
  <c r="C22" i="2"/>
  <c r="B22" i="2"/>
  <c r="A22" i="2"/>
  <c r="E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C15" i="2"/>
  <c r="B15" i="2"/>
  <c r="A15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E4" i="2"/>
  <c r="D4" i="2"/>
  <c r="C4" i="2"/>
  <c r="B4" i="2"/>
  <c r="A4" i="2"/>
  <c r="E3" i="2"/>
  <c r="D3" i="2"/>
  <c r="C3" i="2"/>
  <c r="B3" i="2"/>
  <c r="A3" i="2"/>
  <c r="E2" i="2"/>
  <c r="D2" i="2"/>
  <c r="C2" i="2"/>
  <c r="B2" i="2"/>
  <c r="A2" i="2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F20" i="1"/>
  <c r="E20" i="1"/>
  <c r="C20" i="1"/>
  <c r="B20" i="1"/>
  <c r="F19" i="1"/>
  <c r="E19" i="1"/>
  <c r="C19" i="1"/>
  <c r="B19" i="1"/>
  <c r="F18" i="1"/>
  <c r="E18" i="1"/>
  <c r="C18" i="1"/>
  <c r="B18" i="1"/>
  <c r="F17" i="1"/>
  <c r="E17" i="1"/>
  <c r="C17" i="1"/>
  <c r="B17" i="1"/>
  <c r="F16" i="1"/>
  <c r="C16" i="1"/>
  <c r="B16" i="1"/>
  <c r="F15" i="1"/>
  <c r="E15" i="1"/>
  <c r="C15" i="1"/>
  <c r="C14" i="1"/>
  <c r="B14" i="1"/>
  <c r="C3" i="1"/>
  <c r="F4" i="1" l="1"/>
  <c r="E4" i="1"/>
  <c r="C2" i="1"/>
  <c r="P16" i="1" l="1"/>
  <c r="N12" i="1"/>
  <c r="P15" i="1"/>
  <c r="N13" i="1"/>
</calcChain>
</file>

<file path=xl/sharedStrings.xml><?xml version="1.0" encoding="utf-8"?>
<sst xmlns="http://schemas.openxmlformats.org/spreadsheetml/2006/main" count="969" uniqueCount="483">
  <si>
    <t>TOTAL PARTICIPANTS:</t>
  </si>
  <si>
    <t>Participants by Sex</t>
  </si>
  <si>
    <t>ACTIVITY</t>
  </si>
  <si>
    <t>VENUE</t>
  </si>
  <si>
    <t>FACILITATED BY</t>
  </si>
  <si>
    <t>LINK OF THE ENCODED NAMES</t>
  </si>
  <si>
    <t>CONDUCTED BY</t>
  </si>
  <si>
    <t>TOTAL PEOS CONDUCTED:</t>
  </si>
  <si>
    <t>Male</t>
  </si>
  <si>
    <t>Female</t>
  </si>
  <si>
    <t>Caraga State University (PEOS)</t>
  </si>
  <si>
    <t>Caraga State University</t>
  </si>
  <si>
    <t>CSU-Ampayon</t>
  </si>
  <si>
    <t>Not Yet Submitted</t>
  </si>
  <si>
    <t>MAG</t>
  </si>
  <si>
    <t>19th Dagkot Festival Job Fair (PEOS &amp; AIRTIP)</t>
  </si>
  <si>
    <t>City Social Hall, People's Government Center, Cabadbaran City</t>
  </si>
  <si>
    <t>LGU Cabadbaran</t>
  </si>
  <si>
    <t>February 23, 2026 PEOS</t>
  </si>
  <si>
    <t>IJEP</t>
  </si>
  <si>
    <t>Rotary Job Fair (PEOS)</t>
  </si>
  <si>
    <t>Robinsons Mall</t>
  </si>
  <si>
    <t>LGU Butuan</t>
  </si>
  <si>
    <t>February 26, 2026 PEOS</t>
  </si>
  <si>
    <t>JNPE</t>
  </si>
  <si>
    <t>Top 5 Courses/Positions:</t>
  </si>
  <si>
    <t>MALE=</t>
  </si>
  <si>
    <t>FEMALE=</t>
  </si>
  <si>
    <t>Name</t>
  </si>
  <si>
    <t>Sex</t>
  </si>
  <si>
    <t>City/Municipality/School/Office</t>
  </si>
  <si>
    <t>Position/Course</t>
  </si>
  <si>
    <t>Click for the Main Dashboard</t>
  </si>
  <si>
    <t>Contact Number</t>
  </si>
  <si>
    <t>Tricia Erika A. Roa</t>
  </si>
  <si>
    <t>F</t>
  </si>
  <si>
    <t>Cabadbaran City</t>
  </si>
  <si>
    <t>BS-Crim</t>
  </si>
  <si>
    <t>SUMMARY</t>
  </si>
  <si>
    <t>June Rey M. Ezaso</t>
  </si>
  <si>
    <t>M</t>
  </si>
  <si>
    <t>Victory, Tubay</t>
  </si>
  <si>
    <t>HIE OPTR</t>
  </si>
  <si>
    <t>Pave Junly T. Elago</t>
  </si>
  <si>
    <t>Comagascas, Cabadbaran City</t>
  </si>
  <si>
    <t>HIH OPTR</t>
  </si>
  <si>
    <t>Apolinar C. Bongcagil</t>
  </si>
  <si>
    <t>RTR</t>
  </si>
  <si>
    <t>BS-IT</t>
  </si>
  <si>
    <t>TOTAL</t>
  </si>
  <si>
    <t>Christian John S. Albarida</t>
  </si>
  <si>
    <t>Tiniwisan, Butuan City</t>
  </si>
  <si>
    <t>BS-Forestry</t>
  </si>
  <si>
    <t>Jubert P. Morillon</t>
  </si>
  <si>
    <t>Sanghan, Cabadbaran City</t>
  </si>
  <si>
    <t>Driver</t>
  </si>
  <si>
    <t>Click for All Names</t>
  </si>
  <si>
    <t>Jenny Rose G. Vargas</t>
  </si>
  <si>
    <t>San-Isidro, Santiago</t>
  </si>
  <si>
    <t>BTLED-AFA</t>
  </si>
  <si>
    <t>Darwin M. Donoriano</t>
  </si>
  <si>
    <t>Butuan City</t>
  </si>
  <si>
    <t>Audreyll Bituin</t>
  </si>
  <si>
    <t>Cyrus Morales</t>
  </si>
  <si>
    <t>Tubay</t>
  </si>
  <si>
    <t>Rowelyn S. Limitares</t>
  </si>
  <si>
    <t>PEET</t>
  </si>
  <si>
    <t>Jerald M. Morden</t>
  </si>
  <si>
    <t>Jabonga</t>
  </si>
  <si>
    <t>Conrado V. Cagased</t>
  </si>
  <si>
    <t>Curva, Santiago</t>
  </si>
  <si>
    <t>Alpha Angelita P. Hulbayan</t>
  </si>
  <si>
    <t>Bayugan City</t>
  </si>
  <si>
    <t>Judy Rainar Clemente</t>
  </si>
  <si>
    <t>Kauswagan, Cabadbaran City</t>
  </si>
  <si>
    <t>Felix B. Vargas Jr.</t>
  </si>
  <si>
    <t>Caloc-An, Magallanes</t>
  </si>
  <si>
    <t>Bagger</t>
  </si>
  <si>
    <t>Marievic P. Tatoy</t>
  </si>
  <si>
    <t>Sales Lady</t>
  </si>
  <si>
    <t>Marissa C. Baguidan</t>
  </si>
  <si>
    <t>Baobaoan, Butuan City</t>
  </si>
  <si>
    <t>Cashier/Checker</t>
  </si>
  <si>
    <t>Anna Marie G. Pahit</t>
  </si>
  <si>
    <t>Katugasan, Cabadbaran City</t>
  </si>
  <si>
    <t>BSRT</t>
  </si>
  <si>
    <t>Ian Carl Pescadera</t>
  </si>
  <si>
    <t>Mary Joy Millamina</t>
  </si>
  <si>
    <t>Sto. Niño, Magallanes</t>
  </si>
  <si>
    <t>Ike O. Panchito</t>
  </si>
  <si>
    <t>Jagupit, Santiago</t>
  </si>
  <si>
    <t xml:space="preserve">Clerk </t>
  </si>
  <si>
    <t>Rysa Shen Alcantara</t>
  </si>
  <si>
    <t>Arlyn O. Adanza</t>
  </si>
  <si>
    <t>Cabinet, Cabadaran City</t>
  </si>
  <si>
    <t>BFBS</t>
  </si>
  <si>
    <t>Ernesto O. Galicia</t>
  </si>
  <si>
    <t>Gescultura Kaven</t>
  </si>
  <si>
    <t>Bayabas, Cabadbaran City</t>
  </si>
  <si>
    <t>Helper</t>
  </si>
  <si>
    <t>Rowell Diwata</t>
  </si>
  <si>
    <t>Regine Loy</t>
  </si>
  <si>
    <t>Dal-as, Cabadbaran City</t>
  </si>
  <si>
    <t>Gupit Jeremy</t>
  </si>
  <si>
    <t>Charemil Sajorda</t>
  </si>
  <si>
    <t>Mabuhion, Cabadbaran City</t>
  </si>
  <si>
    <t>Christine Daione T. Gamale</t>
  </si>
  <si>
    <t>Cabinet, Cabadbaran City</t>
  </si>
  <si>
    <t>Jess O. Alizio</t>
  </si>
  <si>
    <t>Tolosa, Cabadbaran City</t>
  </si>
  <si>
    <t>Jumelce Toraya</t>
  </si>
  <si>
    <t>Luige B. Sumibcay</t>
  </si>
  <si>
    <t>La Union, Cabadbaran City</t>
  </si>
  <si>
    <t>Ronabel G. Bonggo</t>
  </si>
  <si>
    <t>Jayson C. Peli</t>
  </si>
  <si>
    <t>Pejie Tinagtag</t>
  </si>
  <si>
    <t>Calibunan, Cabadbaran City</t>
  </si>
  <si>
    <t>Ruth E. Olalo</t>
  </si>
  <si>
    <t>Abel Mizraim Telin</t>
  </si>
  <si>
    <t>Poblacion 3, Cabadbaran City</t>
  </si>
  <si>
    <t>Merco JB D. Lamosa</t>
  </si>
  <si>
    <t>Poblacion 2, Cabadbaran City</t>
  </si>
  <si>
    <t>Allen Jade P. Duran</t>
  </si>
  <si>
    <t>Del Pilar, Cabadbaran City</t>
  </si>
  <si>
    <t>Ciledoric Basadrio</t>
  </si>
  <si>
    <t>Rachel Tolentino</t>
  </si>
  <si>
    <t>Barangay 7 Purok 2b</t>
  </si>
  <si>
    <t>Ruderic Cosmiano</t>
  </si>
  <si>
    <t>Mainit, Surigao del Norte</t>
  </si>
  <si>
    <t>Jerlyn Salino</t>
  </si>
  <si>
    <t>Cherry Mae Baguio</t>
  </si>
  <si>
    <t>Crisanto Amadeo</t>
  </si>
  <si>
    <t>Sta. Ana, Tubay</t>
  </si>
  <si>
    <t>Cristal keth Acebes</t>
  </si>
  <si>
    <t>Caasinan, Cabadbaran City</t>
  </si>
  <si>
    <t>Lourabel P. Rulida</t>
  </si>
  <si>
    <t>Alejandro Panchito</t>
  </si>
  <si>
    <t>Santiago</t>
  </si>
  <si>
    <t>Xyryl Torres</t>
  </si>
  <si>
    <t>J Subayan</t>
  </si>
  <si>
    <t>Sibagat</t>
  </si>
  <si>
    <t>Kems Roberth Salvador</t>
  </si>
  <si>
    <t>Desiree G. Limer</t>
  </si>
  <si>
    <t>Niza Florence M. Junio</t>
  </si>
  <si>
    <t>Kitcharao</t>
  </si>
  <si>
    <t>Neil Martin Tampepe</t>
  </si>
  <si>
    <t>Bay-Ang</t>
  </si>
  <si>
    <t>Emmanuelle Rey Tener</t>
  </si>
  <si>
    <t>Soriano</t>
  </si>
  <si>
    <t>Charlie Paner</t>
  </si>
  <si>
    <t>Atega Sub.</t>
  </si>
  <si>
    <t>Meljean B. Capon</t>
  </si>
  <si>
    <t>Kimberly M. Ranao</t>
  </si>
  <si>
    <t>Kemberly R. Bugahob</t>
  </si>
  <si>
    <t>Nestor S. Gorgonio Jr.</t>
  </si>
  <si>
    <t>Sanghay</t>
  </si>
  <si>
    <t>Charish C. Dagohoy</t>
  </si>
  <si>
    <t>Mahaba</t>
  </si>
  <si>
    <t>Jeric C. Calejesan</t>
  </si>
  <si>
    <t>Puting Bato</t>
  </si>
  <si>
    <t>Arnel Bermiso</t>
  </si>
  <si>
    <t>PARS</t>
  </si>
  <si>
    <t>Glan Mer E. Constacio</t>
  </si>
  <si>
    <t>P-7 Puting Bato</t>
  </si>
  <si>
    <t>Cah Zedrick M. Baguinaon</t>
  </si>
  <si>
    <t>P-5 Alegria</t>
  </si>
  <si>
    <t>Art O. Rilots</t>
  </si>
  <si>
    <t>P-8 Alegria</t>
  </si>
  <si>
    <t>Josua E. Paas</t>
  </si>
  <si>
    <t>Reymark T. Marcos</t>
  </si>
  <si>
    <t>P-6 San Antonio</t>
  </si>
  <si>
    <t>Jenkian C. Amparado</t>
  </si>
  <si>
    <t>P-1 Kitcharao</t>
  </si>
  <si>
    <t>Mark T. Son</t>
  </si>
  <si>
    <t>P-6 Kitcharao</t>
  </si>
  <si>
    <t>Jhun Josep M. Rocero</t>
  </si>
  <si>
    <t>Brgy. 9, Cabadbaran City</t>
  </si>
  <si>
    <t>Regina Joy Kintao</t>
  </si>
  <si>
    <t>P-5 Cabadbaran City</t>
  </si>
  <si>
    <t>Orland K. Salazar</t>
  </si>
  <si>
    <t>John Kenneth H. Tumbaga</t>
  </si>
  <si>
    <t>Glenn Mark D. Masacote</t>
  </si>
  <si>
    <t>Deshery Maglasang</t>
  </si>
  <si>
    <t>Rima B. Villavencio</t>
  </si>
  <si>
    <t>BS in Computer Engineering</t>
  </si>
  <si>
    <t>Mansueta Quiboy</t>
  </si>
  <si>
    <t>Marchee Q. Sallare</t>
  </si>
  <si>
    <t>Ervy Jhon B. Beray</t>
  </si>
  <si>
    <t>Ailyn P. Plisco</t>
  </si>
  <si>
    <t>BSED</t>
  </si>
  <si>
    <t>Juvelyn May E. Marial</t>
  </si>
  <si>
    <t>BEED</t>
  </si>
  <si>
    <t>Kenneth Jade B. Mejada</t>
  </si>
  <si>
    <t>Arnel Milagpos</t>
  </si>
  <si>
    <t>P-8 Caasinan,Cabadbaran City</t>
  </si>
  <si>
    <t>Jenny Vev Maratas</t>
  </si>
  <si>
    <t>Magallanes</t>
  </si>
  <si>
    <t>Ruffa Mae A Fedelis</t>
  </si>
  <si>
    <t>Elvy V. Lim</t>
  </si>
  <si>
    <t>Jesse S. Lim</t>
  </si>
  <si>
    <t>Ivy Jane Montiagodo</t>
  </si>
  <si>
    <t>P-5 Tolosa, Cabadbaran City</t>
  </si>
  <si>
    <t>Jane Lawagon</t>
  </si>
  <si>
    <t>P-2 Cabinet</t>
  </si>
  <si>
    <t>Shella B. Labadan</t>
  </si>
  <si>
    <t>Brgy 4</t>
  </si>
  <si>
    <t>Jenifer C. Bigcas</t>
  </si>
  <si>
    <t>Elaine Karen Tamar</t>
  </si>
  <si>
    <t>Eunice Anika Arcipe</t>
  </si>
  <si>
    <t>Neshell Bon J. Miro</t>
  </si>
  <si>
    <t>Aileen F. Omapoc</t>
  </si>
  <si>
    <t>Jeanirose P. Algodon</t>
  </si>
  <si>
    <t>Arjhon P. Aliosada</t>
  </si>
  <si>
    <t>Buenavista</t>
  </si>
  <si>
    <t>Lloyd James Galabay</t>
  </si>
  <si>
    <t>Mabini</t>
  </si>
  <si>
    <t>Judelyn Mahinay</t>
  </si>
  <si>
    <t>BSCS</t>
  </si>
  <si>
    <t>Angelou C. Coco</t>
  </si>
  <si>
    <t>Mary Love Bactong</t>
  </si>
  <si>
    <t>BSTU</t>
  </si>
  <si>
    <t>Olive Jean T. Tamboy</t>
  </si>
  <si>
    <t>Ivan C. Alacre</t>
  </si>
  <si>
    <t>Cyrille Bagaipo</t>
  </si>
  <si>
    <t>BSA</t>
  </si>
  <si>
    <t>French Dominique R. Deligero</t>
  </si>
  <si>
    <t>BSF</t>
  </si>
  <si>
    <t>Jomarie D. Berdera</t>
  </si>
  <si>
    <t>Jerald P. Dumdum</t>
  </si>
  <si>
    <t>Jade Carumba</t>
  </si>
  <si>
    <t>Manerel Mae L. Neri</t>
  </si>
  <si>
    <t>Merabel M. Calinawan</t>
  </si>
  <si>
    <t>Liebe L. Agay Jr.</t>
  </si>
  <si>
    <t>BS - Crim</t>
  </si>
  <si>
    <t>Mech Niño L. Villa</t>
  </si>
  <si>
    <t>Aiza R. Pamisa</t>
  </si>
  <si>
    <t>Dinzoo Mangitngit</t>
  </si>
  <si>
    <t>BSBA</t>
  </si>
  <si>
    <t>Dantecris P. Villacorta</t>
  </si>
  <si>
    <t>RC A. Coronel</t>
  </si>
  <si>
    <t>Ben M. Lopez</t>
  </si>
  <si>
    <t>Vocational</t>
  </si>
  <si>
    <t>Don Lloyd B. Cabalan</t>
  </si>
  <si>
    <t>Cherry P. Elizian</t>
  </si>
  <si>
    <t>Shahoney Hibanada</t>
  </si>
  <si>
    <t>Marjun Flores</t>
  </si>
  <si>
    <t>Lordjane Manliguez</t>
  </si>
  <si>
    <t>Alejandro Gumapac Jr.</t>
  </si>
  <si>
    <t>Truck Driver</t>
  </si>
  <si>
    <t>Jie Ann G. Arbiol</t>
  </si>
  <si>
    <t>Mary Greaty Vida</t>
  </si>
  <si>
    <t>Micah MaeToledo</t>
  </si>
  <si>
    <t>Office Staff</t>
  </si>
  <si>
    <t>Dianne P. Alvez</t>
  </si>
  <si>
    <t>Kent L. Macasunot</t>
  </si>
  <si>
    <t>Cabayawa</t>
  </si>
  <si>
    <t>Adrian O. Galido</t>
  </si>
  <si>
    <t>Calamba</t>
  </si>
  <si>
    <t>Andy Miro</t>
  </si>
  <si>
    <t>Comagascas</t>
  </si>
  <si>
    <t>Reymund Adriaque</t>
  </si>
  <si>
    <t>Doña Rosario, Tubay</t>
  </si>
  <si>
    <t>James Clyde D. Orayan</t>
  </si>
  <si>
    <t>Vergil Conde</t>
  </si>
  <si>
    <t>Nico Rhey F. Rafols</t>
  </si>
  <si>
    <t>Apple H. Tupal</t>
  </si>
  <si>
    <t>Kauswagan</t>
  </si>
  <si>
    <t>Kyla Dagohoy</t>
  </si>
  <si>
    <t>Renato O. Hernandez</t>
  </si>
  <si>
    <t>Surigao</t>
  </si>
  <si>
    <t>Dexter Hernandez</t>
  </si>
  <si>
    <t>Sud. R</t>
  </si>
  <si>
    <t>Edenly Acaac</t>
  </si>
  <si>
    <t>Phoebe Jane Patual</t>
  </si>
  <si>
    <t>Rose Leah Librero</t>
  </si>
  <si>
    <t>Jhona Grace G. Aquino</t>
  </si>
  <si>
    <t>Arnold S. Palos Jr.</t>
  </si>
  <si>
    <t>Saughan</t>
  </si>
  <si>
    <t>Annie Jane C. Bafro</t>
  </si>
  <si>
    <t>Bayani</t>
  </si>
  <si>
    <t>Hienzqweill Railee Rizaba</t>
  </si>
  <si>
    <t>Harlyn D. Ranario</t>
  </si>
  <si>
    <t>Tagbongabong</t>
  </si>
  <si>
    <t>Frencess C, Galve</t>
  </si>
  <si>
    <t>Cabinet</t>
  </si>
  <si>
    <t>Johnryl Diayon</t>
  </si>
  <si>
    <t>Antonio Y. Monteros Jr.</t>
  </si>
  <si>
    <t>Cendy S. Enriquez</t>
  </si>
  <si>
    <t>Lusong, Puting Bato</t>
  </si>
  <si>
    <t>Marjorie C. Sandag</t>
  </si>
  <si>
    <t>Jochelle Anne T. Ybiernas</t>
  </si>
  <si>
    <t>P-1 Brgy 9</t>
  </si>
  <si>
    <t>Love R. Salundaguit</t>
  </si>
  <si>
    <t>Rosemarie Panlita</t>
  </si>
  <si>
    <t>P-4 La Union</t>
  </si>
  <si>
    <t>Any kind</t>
  </si>
  <si>
    <t>Vincent Davalan</t>
  </si>
  <si>
    <t>P-1 Tolosa</t>
  </si>
  <si>
    <t>Any</t>
  </si>
  <si>
    <t>Thelma L. Ybañez</t>
  </si>
  <si>
    <t>P-2 Marcos, Magallanes</t>
  </si>
  <si>
    <t>Mark Jason Jasil</t>
  </si>
  <si>
    <t>P-11 Mayon La Union</t>
  </si>
  <si>
    <t>Serj Michael N. Briones</t>
  </si>
  <si>
    <t>P-3 Brgy 7</t>
  </si>
  <si>
    <t>Jemymah M. Bantilan</t>
  </si>
  <si>
    <t>P-3 Brgy 3</t>
  </si>
  <si>
    <t>Jhumar Badal</t>
  </si>
  <si>
    <t>P-4 Tolosa</t>
  </si>
  <si>
    <t>Jonathan Sinpay</t>
  </si>
  <si>
    <t>Earl Valentino</t>
  </si>
  <si>
    <t>Christelle G. Bisnar</t>
  </si>
  <si>
    <t>Alegria, Surigao del Norte</t>
  </si>
  <si>
    <t>Hamadair C. Apellela</t>
  </si>
  <si>
    <t>Llemar Cupay</t>
  </si>
  <si>
    <t>Safety</t>
  </si>
  <si>
    <t>Centecia Medeza</t>
  </si>
  <si>
    <t>Any position</t>
  </si>
  <si>
    <t>Crystal F. Moncada</t>
  </si>
  <si>
    <t>Welgy Pabatang</t>
  </si>
  <si>
    <t>Jerson T. Alingasa</t>
  </si>
  <si>
    <t>Sales Boy</t>
  </si>
  <si>
    <t>Lambert Jay Sajulga</t>
  </si>
  <si>
    <t>B7 Cabadbaran City</t>
  </si>
  <si>
    <t>Avel Egole</t>
  </si>
  <si>
    <t>Cuto</t>
  </si>
  <si>
    <t>Marjun N. Arirobon</t>
  </si>
  <si>
    <t>BSIT</t>
  </si>
  <si>
    <t>Girlie S. Costinar</t>
  </si>
  <si>
    <t>P-4 Concepcion Cabadbaran City</t>
  </si>
  <si>
    <t>John Mark M. Olaybar</t>
  </si>
  <si>
    <t>P-3 Santiago</t>
  </si>
  <si>
    <t>Jayson Galin</t>
  </si>
  <si>
    <t>Marwin J. Galigas</t>
  </si>
  <si>
    <t>Purok-8 Bancasi</t>
  </si>
  <si>
    <t>OCC</t>
  </si>
  <si>
    <t>Shiela Marie E. Deligero</t>
  </si>
  <si>
    <t>La Union</t>
  </si>
  <si>
    <t>Angel Mae S. Lauron</t>
  </si>
  <si>
    <t>P-4 Bancasi</t>
  </si>
  <si>
    <t>Alvie Jhon Pabia</t>
  </si>
  <si>
    <t>P-1 Tubay</t>
  </si>
  <si>
    <t>Merchandiser, Any</t>
  </si>
  <si>
    <t>Marichu Lubang</t>
  </si>
  <si>
    <t>P-3 Calibunan</t>
  </si>
  <si>
    <t>Jeanette Melanie L. Cailing</t>
  </si>
  <si>
    <t>P-6 Brgy. Cabayawa</t>
  </si>
  <si>
    <t>Regine Rose Clemenia</t>
  </si>
  <si>
    <t>P-6 Tolosa</t>
  </si>
  <si>
    <t>HS GRAD</t>
  </si>
  <si>
    <t>Benjamin Jo H.Lacson</t>
  </si>
  <si>
    <t>P-San Antonio, RTR</t>
  </si>
  <si>
    <t>Rickjhon L. Acido</t>
  </si>
  <si>
    <t>Poblacion Jabonga</t>
  </si>
  <si>
    <t>BS Accounting</t>
  </si>
  <si>
    <t>Allen Grace P. Pajaron</t>
  </si>
  <si>
    <t>Purok 3 Barangay 9</t>
  </si>
  <si>
    <t>John Paul Hernandez</t>
  </si>
  <si>
    <t>Purok 3 Soriano</t>
  </si>
  <si>
    <t>GS Grand</t>
  </si>
  <si>
    <t>Kilpatrick Abucejo</t>
  </si>
  <si>
    <t>P-4 Brgy 12 Cabadbaran City</t>
  </si>
  <si>
    <t>Jamaica Jane G. Labito</t>
  </si>
  <si>
    <t>P-2 Humilog RTR</t>
  </si>
  <si>
    <t>Cede M. Supas</t>
  </si>
  <si>
    <t>P-1 Taod-Oy</t>
  </si>
  <si>
    <t>BS BIO</t>
  </si>
  <si>
    <t>Refley Mae Q. Juno</t>
  </si>
  <si>
    <t>Rose Jean B. Gabisan</t>
  </si>
  <si>
    <t>P-4 Basilisa</t>
  </si>
  <si>
    <t>BS MATH</t>
  </si>
  <si>
    <t>Joy Morlladez</t>
  </si>
  <si>
    <t>P-3 Antonioluna</t>
  </si>
  <si>
    <t>Richard Balanis</t>
  </si>
  <si>
    <t>S GRAD</t>
  </si>
  <si>
    <t>Heralyn A, Tizon</t>
  </si>
  <si>
    <t>P-2 Sanghan</t>
  </si>
  <si>
    <t>Dan M. Sacala</t>
  </si>
  <si>
    <t>P-11 Tubay</t>
  </si>
  <si>
    <t>Jan Louie Garbo</t>
  </si>
  <si>
    <t>H GRAD</t>
  </si>
  <si>
    <t>Afrelyn C. Sulima</t>
  </si>
  <si>
    <t>BS CRIM</t>
  </si>
  <si>
    <t>Sweenie Putao</t>
  </si>
  <si>
    <t>P-4 Katugasan, Cabadbaran City</t>
  </si>
  <si>
    <t>Lara laraine Sermillas</t>
  </si>
  <si>
    <t>P-3 Humilog RTR</t>
  </si>
  <si>
    <t>DJ Lesther Hora</t>
  </si>
  <si>
    <t>P-3 Caloc-an, Magallanes</t>
  </si>
  <si>
    <t>Antonitte Dacera</t>
  </si>
  <si>
    <t>P6 Brgy. Comagascas</t>
  </si>
  <si>
    <t>Dan Peter C. Asino</t>
  </si>
  <si>
    <t>P-1 Soriano Cabadbaran City</t>
  </si>
  <si>
    <t>Ilunas C. Damallerio</t>
  </si>
  <si>
    <t>P-2 Calibunan Cabadbaran City</t>
  </si>
  <si>
    <t>EET</t>
  </si>
  <si>
    <t>Aujin Mark Sabo</t>
  </si>
  <si>
    <t>Brgy. 10 Cabadbaran City</t>
  </si>
  <si>
    <t>TECH HEAD</t>
  </si>
  <si>
    <t>Abigail A. Conucto</t>
  </si>
  <si>
    <t>Butuan</t>
  </si>
  <si>
    <t>Cherry Ann H. Madaje</t>
  </si>
  <si>
    <t>Herex Siegfred L. Divinagracia</t>
  </si>
  <si>
    <t>Hazel Mae F. Prais</t>
  </si>
  <si>
    <t>Bayugan</t>
  </si>
  <si>
    <t>Kyla P. Escamillan</t>
  </si>
  <si>
    <t>Andrew P. Weckes</t>
  </si>
  <si>
    <t>Sharmaine Joyce P. Dahang</t>
  </si>
  <si>
    <t>Nasipit</t>
  </si>
  <si>
    <t>Amiel Kit M. Tiburon</t>
  </si>
  <si>
    <t>Larry A. Pasula</t>
  </si>
  <si>
    <t>Cindy E. Arroz</t>
  </si>
  <si>
    <t>Irene R. Duray</t>
  </si>
  <si>
    <t>Tiniwisan</t>
  </si>
  <si>
    <t>Ellen M. Marsada</t>
  </si>
  <si>
    <t>April Mae L. Conde</t>
  </si>
  <si>
    <t>Angelica I. Gonzaga</t>
  </si>
  <si>
    <t>Kevin C. Bergautin</t>
  </si>
  <si>
    <t>Almira S. Dumaplin</t>
  </si>
  <si>
    <t>Faith Ann T. Cultura</t>
  </si>
  <si>
    <t>Queenie C. Dagoc</t>
  </si>
  <si>
    <t>Jonielin D. Tañaña</t>
  </si>
  <si>
    <t>Janith L. Compendio</t>
  </si>
  <si>
    <t>Rusty A. Gayoso</t>
  </si>
  <si>
    <t>Lovely C. Balgoa</t>
  </si>
  <si>
    <t>Danilo G. Miranda Jr.</t>
  </si>
  <si>
    <t>Sheine P. Villarin</t>
  </si>
  <si>
    <t>Argie M. Lorena</t>
  </si>
  <si>
    <t>Rusty D. Dahit</t>
  </si>
  <si>
    <t>Christopher M. Gerongco</t>
  </si>
  <si>
    <t>Prosperidad</t>
  </si>
  <si>
    <t>Jhane Jaspher C. Cabantac</t>
  </si>
  <si>
    <t>Jesa Mae A. Calo</t>
  </si>
  <si>
    <t>Jonah May B. Escabarte</t>
  </si>
  <si>
    <t>Angel Grace Flores</t>
  </si>
  <si>
    <t>Chena Mae R. Datoon</t>
  </si>
  <si>
    <t>Leanne Roneric Janglay</t>
  </si>
  <si>
    <t>Nelson M. Quilaton</t>
  </si>
  <si>
    <t>Kyla Marie S. Otacan</t>
  </si>
  <si>
    <t>Corazon Escabal</t>
  </si>
  <si>
    <t>Jeraldine Cabusao</t>
  </si>
  <si>
    <t>Jocelyn Gautala</t>
  </si>
  <si>
    <t>Camille F. Rulona</t>
  </si>
  <si>
    <t>Juren Vergel Vicaoam</t>
  </si>
  <si>
    <t>Ivan Lester R. Donoso</t>
  </si>
  <si>
    <t>Joseph Edward Plaza</t>
  </si>
  <si>
    <t>Jeetia J. Catampatan</t>
  </si>
  <si>
    <t>Jay-R T. Cabusao</t>
  </si>
  <si>
    <t>Fits Gerald G. Delfin</t>
  </si>
  <si>
    <t>Ace Q. Jaros</t>
  </si>
  <si>
    <t>Sharmine L. Constantino</t>
  </si>
  <si>
    <t>Nina Bianca Mercado</t>
  </si>
  <si>
    <t>Alrhem Jay O. Matias</t>
  </si>
  <si>
    <t>Raiza Queen C. Cascas</t>
  </si>
  <si>
    <t>Maria Eloisa Albino</t>
  </si>
  <si>
    <t>Kale Angeline C. Caballes</t>
  </si>
  <si>
    <t>Deshery G. Maglasang</t>
  </si>
  <si>
    <t>Manilyn Gungob</t>
  </si>
  <si>
    <t>Gladys E. Jumuad</t>
  </si>
  <si>
    <t>Manelyn D. Herbolingo</t>
  </si>
  <si>
    <t>Jovie L. Alejandro</t>
  </si>
  <si>
    <t>Marites C. Lumindas</t>
  </si>
  <si>
    <t>Lizando R. Laag</t>
  </si>
  <si>
    <t>Kenneth Jade B. Mejola</t>
  </si>
  <si>
    <t>Michael Angelo A. Barbin</t>
  </si>
  <si>
    <t>Gingoog</t>
  </si>
  <si>
    <t>Karen P. Amor</t>
  </si>
  <si>
    <t>James Paul T. Cebuala</t>
  </si>
  <si>
    <t>Ariel Cutay</t>
  </si>
  <si>
    <t>Christian Dave Tabaranes</t>
  </si>
  <si>
    <t>Ayay M. Pasaylo</t>
  </si>
  <si>
    <t>Carmen</t>
  </si>
  <si>
    <t>Lemuel C. Malibago</t>
  </si>
  <si>
    <t>Brayn Dayl E. Languez</t>
  </si>
  <si>
    <t>Kaye Aiga F. Yañez</t>
  </si>
  <si>
    <t>Vina Reyjean T. Calimbo</t>
  </si>
  <si>
    <t>Arwel Jhon Chavez</t>
  </si>
  <si>
    <t>Christian Coral</t>
  </si>
  <si>
    <t>Lendon Glenn E. Caballero</t>
  </si>
  <si>
    <t>Jhomar U. Bongato</t>
  </si>
  <si>
    <t>Joana Mae Paragoso</t>
  </si>
  <si>
    <t>Eric Asistido</t>
  </si>
  <si>
    <t>Kenn Kenn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</si>
</sst>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4"/>
      <color theme="1"/>
      <name val="Open Sans"/>
    </font>
    <font>
      <b/>
      <sz val="14"/>
      <color theme="1"/>
      <name val="Roboto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3"/>
      <color rgb="FF1F2F3F"/>
      <name val="Montserrat"/>
    </font>
    <font>
      <b/>
      <sz val="14"/>
      <color theme="1"/>
      <name val="Lexend"/>
    </font>
    <font>
      <b/>
      <sz val="14"/>
      <color rgb="FF1F2F3F"/>
      <name val="Montserrat"/>
    </font>
    <font>
      <sz val="10"/>
      <name val="Arial"/>
    </font>
    <font>
      <b/>
      <sz val="12"/>
      <color rgb="FF1F2F3F"/>
      <name val="Montserrat"/>
    </font>
    <font>
      <b/>
      <sz val="11"/>
      <color rgb="FF1F2F3F"/>
      <name val="Montserrat"/>
    </font>
    <font>
      <b/>
      <sz val="12"/>
      <color rgb="FF0A0A0A"/>
      <name val="Lexend"/>
    </font>
    <font>
      <b/>
      <sz val="12"/>
      <color rgb="FF1F2F3F"/>
      <name val="Lexend"/>
    </font>
    <font>
      <sz val="10"/>
      <color theme="1"/>
      <name val="Open Sans"/>
    </font>
    <font>
      <sz val="10"/>
      <color theme="1"/>
      <name val="Roboto"/>
    </font>
    <font>
      <sz val="12"/>
      <color theme="1"/>
      <name val="Roboto"/>
    </font>
    <font>
      <u/>
      <sz val="10"/>
      <color rgb="FF0000FF"/>
      <name val="Open Sans"/>
    </font>
    <font>
      <u/>
      <sz val="10"/>
      <color rgb="FF0097A7"/>
      <name val="Open Sans"/>
    </font>
    <font>
      <b/>
      <sz val="10"/>
      <color theme="1"/>
      <name val="Arial"/>
      <scheme val="minor"/>
    </font>
    <font>
      <sz val="15"/>
      <color theme="1"/>
      <name val="Open Sans"/>
    </font>
    <font>
      <b/>
      <sz val="11"/>
      <color theme="1"/>
      <name val="Arial"/>
      <scheme val="minor"/>
    </font>
    <font>
      <b/>
      <sz val="11"/>
      <color rgb="FF1F2F3F"/>
      <name val="Open Sans"/>
    </font>
    <font>
      <b/>
      <sz val="11"/>
      <color rgb="FF1F2F3F"/>
      <name val="Roboto"/>
    </font>
    <font>
      <sz val="10"/>
      <color rgb="FFFFFFFF"/>
      <name val="Roboto"/>
    </font>
    <font>
      <sz val="10"/>
      <color rgb="FF1F2F3F"/>
      <name val="Open Sans"/>
    </font>
    <font>
      <sz val="10"/>
      <color rgb="FFFFFFFF"/>
      <name val="Open Sans"/>
    </font>
    <font>
      <sz val="10"/>
      <color rgb="FF1F2F3F"/>
      <name val="Arial"/>
      <scheme val="minor"/>
    </font>
    <font>
      <u/>
      <sz val="12"/>
      <color rgb="FF0000FF"/>
      <name val="Lexend"/>
    </font>
    <font>
      <sz val="10"/>
      <color rgb="FFFFFFFF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wrapText="1"/>
    </xf>
    <xf numFmtId="0" fontId="11" fillId="3" borderId="1" xfId="0" applyFont="1" applyFill="1" applyBorder="1"/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4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14" fillId="2" borderId="0" xfId="0" applyFont="1" applyFill="1"/>
    <xf numFmtId="0" fontId="15" fillId="2" borderId="0" xfId="0" applyFont="1" applyFill="1" applyAlignment="1">
      <alignment horizontal="left"/>
    </xf>
    <xf numFmtId="0" fontId="1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wrapText="1"/>
    </xf>
    <xf numFmtId="0" fontId="17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3" borderId="0" xfId="0" applyFont="1" applyFill="1"/>
    <xf numFmtId="0" fontId="23" fillId="3" borderId="0" xfId="0" applyFont="1" applyFill="1" applyAlignment="1">
      <alignment horizontal="left"/>
    </xf>
    <xf numFmtId="0" fontId="22" fillId="3" borderId="4" xfId="0" applyFont="1" applyFill="1" applyBorder="1"/>
    <xf numFmtId="0" fontId="22" fillId="3" borderId="5" xfId="0" applyFont="1" applyFill="1" applyBorder="1"/>
    <xf numFmtId="0" fontId="14" fillId="3" borderId="0" xfId="0" applyFont="1" applyFill="1"/>
    <xf numFmtId="0" fontId="24" fillId="3" borderId="0" xfId="0" applyFont="1" applyFill="1" applyAlignment="1">
      <alignment horizontal="left"/>
    </xf>
    <xf numFmtId="0" fontId="25" fillId="3" borderId="6" xfId="0" applyFont="1" applyFill="1" applyBorder="1"/>
    <xf numFmtId="0" fontId="25" fillId="3" borderId="7" xfId="0" applyFont="1" applyFill="1" applyBorder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0" fontId="14" fillId="3" borderId="6" xfId="0" applyFont="1" applyFill="1" applyBorder="1"/>
    <xf numFmtId="0" fontId="26" fillId="3" borderId="7" xfId="0" applyFont="1" applyFill="1" applyBorder="1"/>
    <xf numFmtId="0" fontId="15" fillId="3" borderId="7" xfId="0" applyFont="1" applyFill="1" applyBorder="1"/>
    <xf numFmtId="0" fontId="27" fillId="2" borderId="0" xfId="0" applyFont="1" applyFill="1"/>
    <xf numFmtId="0" fontId="14" fillId="3" borderId="8" xfId="0" applyFont="1" applyFill="1" applyBorder="1"/>
    <xf numFmtId="0" fontId="14" fillId="3" borderId="9" xfId="0" applyFont="1" applyFill="1" applyBorder="1"/>
    <xf numFmtId="0" fontId="4" fillId="0" borderId="0" xfId="0" applyFont="1"/>
    <xf numFmtId="0" fontId="28" fillId="0" borderId="0" xfId="0" applyFont="1"/>
    <xf numFmtId="0" fontId="29" fillId="4" borderId="0" xfId="0" applyFont="1" applyFill="1"/>
    <xf numFmtId="0" fontId="29" fillId="4" borderId="0" xfId="0" applyFont="1" applyFill="1" applyAlignment="1">
      <alignment horizontal="center"/>
    </xf>
    <xf numFmtId="0" fontId="29" fillId="4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PH" b="0">
                <a:solidFill>
                  <a:srgbClr val="757575"/>
                </a:solidFill>
                <a:latin typeface="+mn-lt"/>
              </a:rPr>
              <a:t>Participants by Sex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891AD"/>
              </a:solidFill>
            </c:spPr>
            <c:extLst>
              <c:ext xmlns:c16="http://schemas.microsoft.com/office/drawing/2014/chart" uri="{C3380CC4-5D6E-409C-BE32-E72D297353CC}">
                <c16:uniqueId val="{00000001-8E87-4F82-AA63-3BEFC8CE390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'Main Dashboard'!$E$3:$F$3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'Main Dashboard'!$E$4:$F$4</c:f>
              <c:numCache>
                <c:formatCode>General</c:formatCode>
                <c:ptCount val="2"/>
                <c:pt idx="0">
                  <c:v>144</c:v>
                </c:pt>
                <c:pt idx="1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7-4F82-AA63-3BEFC8CE3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85725</xdr:colOff>
      <xdr:row>0</xdr:row>
      <xdr:rowOff>0</xdr:rowOff>
    </xdr:from>
    <xdr:ext cx="4181475" cy="25908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971550</xdr:colOff>
      <xdr:row>2</xdr:row>
      <xdr:rowOff>228600</xdr:rowOff>
    </xdr:from>
    <xdr:ext cx="1714500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099000" y="1934725"/>
          <a:ext cx="1694034" cy="346734"/>
        </a:xfrm>
        <a:prstGeom prst="flowChartTerminator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Main Dashboard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28575</xdr:colOff>
      <xdr:row>2</xdr:row>
      <xdr:rowOff>9525</xdr:rowOff>
    </xdr:from>
    <xdr:ext cx="1714500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505175" y="924225"/>
          <a:ext cx="1694034" cy="326916"/>
        </a:xfrm>
        <a:prstGeom prst="flowChartTerminator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Main Dashboard</a:t>
          </a:r>
          <a:endParaRPr sz="1400"/>
        </a:p>
      </xdr:txBody>
    </xdr:sp>
    <xdr:clientData fLocksWithSheet="0"/>
  </xdr:oneCellAnchor>
  <xdr:oneCellAnchor>
    <xdr:from>
      <xdr:col>7</xdr:col>
      <xdr:colOff>28575</xdr:colOff>
      <xdr:row>7</xdr:row>
      <xdr:rowOff>9525</xdr:rowOff>
    </xdr:from>
    <xdr:ext cx="1533525" cy="3714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33025" y="1122375"/>
          <a:ext cx="1515726" cy="356670"/>
        </a:xfrm>
        <a:prstGeom prst="flowChartTerminator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Helper Data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28575</xdr:colOff>
      <xdr:row>2</xdr:row>
      <xdr:rowOff>9525</xdr:rowOff>
    </xdr:from>
    <xdr:ext cx="1714500" cy="342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505175" y="924225"/>
          <a:ext cx="1694034" cy="326916"/>
        </a:xfrm>
        <a:prstGeom prst="flowChartTerminator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Main Dashboard</a:t>
          </a:r>
          <a:endParaRPr sz="1400"/>
        </a:p>
      </xdr:txBody>
    </xdr:sp>
    <xdr:clientData fLocksWithSheet="0"/>
  </xdr:oneCellAnchor>
  <xdr:oneCellAnchor>
    <xdr:from>
      <xdr:col>7</xdr:col>
      <xdr:colOff>28575</xdr:colOff>
      <xdr:row>7</xdr:row>
      <xdr:rowOff>9525</xdr:rowOff>
    </xdr:from>
    <xdr:ext cx="1533525" cy="3714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4733025" y="1122375"/>
          <a:ext cx="1515726" cy="356670"/>
        </a:xfrm>
        <a:prstGeom prst="flowChartTerminator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Helper Data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3"/>
  <sheetViews>
    <sheetView showGridLines="0" tabSelected="1" zoomScale="44" workbookViewId="0">
      <selection activeCell="H33" sqref="H33"/>
    </sheetView>
  </sheetViews>
  <sheetFormatPr defaultColWidth="12.6328125" defaultRowHeight="15.75" customHeight="1"/>
  <cols>
    <col min="1" max="1" width="2.26953125" customWidth="1"/>
    <col min="2" max="2" width="28.08984375" customWidth="1"/>
    <col min="3" max="3" width="4.6328125" customWidth="1"/>
    <col min="4" max="4" width="9.08984375" customWidth="1"/>
    <col min="5" max="5" width="12" customWidth="1"/>
    <col min="7" max="7" width="4.7265625" customWidth="1"/>
    <col min="8" max="8" width="31.26953125" customWidth="1"/>
    <col min="9" max="9" width="49.08984375" customWidth="1"/>
    <col min="10" max="10" width="18.453125" customWidth="1"/>
    <col min="11" max="11" width="23.453125" customWidth="1"/>
    <col min="12" max="12" width="18.36328125" customWidth="1"/>
  </cols>
  <sheetData>
    <row r="1" spans="1:30" ht="15" customHeight="1">
      <c r="A1" s="1"/>
      <c r="B1" s="2"/>
      <c r="C1" s="3"/>
      <c r="D1" s="4"/>
      <c r="E1" s="5"/>
      <c r="F1" s="5"/>
      <c r="G1" s="4"/>
      <c r="H1" s="6"/>
      <c r="I1" s="6"/>
      <c r="J1" s="6"/>
      <c r="K1" s="6"/>
      <c r="L1" s="6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37.5" customHeight="1">
      <c r="A2" s="1"/>
      <c r="B2" s="7" t="s">
        <v>0</v>
      </c>
      <c r="C2" s="8">
        <f ca="1">COUNTA('Helper Data'!A:A)</f>
        <v>286</v>
      </c>
      <c r="D2" s="4"/>
      <c r="E2" s="50" t="s">
        <v>1</v>
      </c>
      <c r="F2" s="51"/>
      <c r="G2" s="4"/>
      <c r="H2" s="9" t="s">
        <v>2</v>
      </c>
      <c r="I2" s="9" t="s">
        <v>3</v>
      </c>
      <c r="J2" s="9" t="s">
        <v>4</v>
      </c>
      <c r="K2" s="10" t="s">
        <v>5</v>
      </c>
      <c r="L2" s="9" t="s">
        <v>6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6.5">
      <c r="A3" s="6"/>
      <c r="B3" s="11" t="s">
        <v>7</v>
      </c>
      <c r="C3" s="12">
        <f>COUNTA(H3:H1003) - COUNT(H3:H1003)</f>
        <v>3</v>
      </c>
      <c r="D3" s="4"/>
      <c r="E3" s="13" t="s">
        <v>8</v>
      </c>
      <c r="F3" s="13" t="s">
        <v>9</v>
      </c>
      <c r="G3" s="4"/>
      <c r="H3" s="14" t="s">
        <v>10</v>
      </c>
      <c r="I3" s="14" t="s">
        <v>11</v>
      </c>
      <c r="J3" s="14" t="s">
        <v>12</v>
      </c>
      <c r="K3" s="15" t="s">
        <v>13</v>
      </c>
      <c r="L3" s="15" t="s">
        <v>14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7.75" customHeight="1">
      <c r="A4" s="4"/>
      <c r="B4" s="16"/>
      <c r="C4" s="17"/>
      <c r="D4" s="4"/>
      <c r="E4" s="18">
        <f ca="1">COUNTIF('Helper Data'!B:B, "M")</f>
        <v>144</v>
      </c>
      <c r="F4" s="18">
        <f ca="1">COUNTIF('Helper Data'!B:B, "F")</f>
        <v>141</v>
      </c>
      <c r="G4" s="4"/>
      <c r="H4" s="19" t="s">
        <v>15</v>
      </c>
      <c r="I4" s="14" t="s">
        <v>16</v>
      </c>
      <c r="J4" s="14" t="s">
        <v>17</v>
      </c>
      <c r="K4" s="20" t="s">
        <v>18</v>
      </c>
      <c r="L4" s="15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21.75" customHeight="1">
      <c r="A5" s="4"/>
      <c r="B5" s="16"/>
      <c r="C5" s="17"/>
      <c r="D5" s="4"/>
      <c r="E5" s="16"/>
      <c r="F5" s="16"/>
      <c r="G5" s="4"/>
      <c r="H5" s="14" t="s">
        <v>20</v>
      </c>
      <c r="I5" s="14" t="s">
        <v>21</v>
      </c>
      <c r="J5" s="14" t="s">
        <v>22</v>
      </c>
      <c r="K5" s="21" t="s">
        <v>23</v>
      </c>
      <c r="L5" s="15" t="s">
        <v>24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21.75" customHeight="1">
      <c r="A6" s="4"/>
      <c r="B6" s="16"/>
      <c r="C6" s="17"/>
      <c r="D6" s="4"/>
      <c r="E6" s="16"/>
      <c r="F6" s="16"/>
      <c r="G6" s="4"/>
      <c r="H6" s="14"/>
      <c r="I6" s="14"/>
      <c r="J6" s="14"/>
      <c r="K6" s="21"/>
      <c r="L6" s="1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21.75" customHeight="1">
      <c r="A7" s="4"/>
      <c r="B7" s="16"/>
      <c r="C7" s="17"/>
      <c r="D7" s="4"/>
      <c r="E7" s="16"/>
      <c r="F7" s="16"/>
      <c r="G7" s="4"/>
      <c r="H7" s="14"/>
      <c r="I7" s="14"/>
      <c r="J7" s="14"/>
      <c r="K7" s="21"/>
      <c r="L7" s="1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4.5">
      <c r="A8" s="4"/>
      <c r="B8" s="16"/>
      <c r="C8" s="17"/>
      <c r="D8" s="4"/>
      <c r="E8" s="16"/>
      <c r="F8" s="1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4.5">
      <c r="A9" s="4"/>
      <c r="B9" s="16"/>
      <c r="C9" s="17"/>
      <c r="D9" s="4"/>
      <c r="E9" s="16"/>
      <c r="F9" s="16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4.5">
      <c r="A10" s="4"/>
      <c r="B10" s="16"/>
      <c r="C10" s="17"/>
      <c r="D10" s="4"/>
      <c r="E10" s="16"/>
      <c r="F10" s="1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14.5">
      <c r="A11" s="4"/>
      <c r="B11" s="16"/>
      <c r="C11" s="17"/>
      <c r="D11" s="4"/>
      <c r="E11" s="16"/>
      <c r="F11" s="1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22">
      <c r="A12" s="4"/>
      <c r="B12" s="16"/>
      <c r="C12" s="17"/>
      <c r="D12" s="4"/>
      <c r="E12" s="16"/>
      <c r="F12" s="16"/>
      <c r="G12" s="4"/>
      <c r="H12" s="4"/>
      <c r="I12" s="4"/>
      <c r="J12" s="4"/>
      <c r="K12" s="4"/>
      <c r="L12" s="4"/>
      <c r="M12" s="4"/>
      <c r="N12" s="23" t="str">
        <f ca="1">"" &amp; TEXT(F4/(E4+F4), "0%") &amp; " of PEOS participants are Female."</f>
        <v>49% of PEOS participants are Female.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22">
      <c r="A13" s="4"/>
      <c r="B13" s="16"/>
      <c r="C13" s="17"/>
      <c r="D13" s="4"/>
      <c r="E13" s="16"/>
      <c r="F13" s="16"/>
      <c r="G13" s="4"/>
      <c r="H13" s="4"/>
      <c r="I13" s="4"/>
      <c r="J13" s="4"/>
      <c r="K13" s="4"/>
      <c r="L13" s="4"/>
      <c r="M13" s="4"/>
      <c r="N13" s="23" t="str">
        <f ca="1">"" &amp; TEXT(E4/(E4+F4), "0%") &amp; " of PEOS participants are Male."</f>
        <v>51% of PEOS participants are Male.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16.5">
      <c r="A14" s="24"/>
      <c r="B14" s="25" t="str">
        <f ca="1">IFERROR(__xludf.DUMMYFUNCTION("QUERY('Helper Data'!A:D, ""Select Col3, Count(Col1) group by Col3 label Col3 'Office/Municipality', Count(Col1) '#'"")"),"Office/Municipality")</f>
        <v>Office/Municipality</v>
      </c>
      <c r="C14" s="26" t="str">
        <f ca="1">IFERROR(__xludf.DUMMYFUNCTION("""COMPUTED_VALUE"""),"#")</f>
        <v>#</v>
      </c>
      <c r="D14" s="24"/>
      <c r="E14" s="27" t="s">
        <v>25</v>
      </c>
      <c r="F14" s="2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14.5">
      <c r="A15" s="4"/>
      <c r="B15" s="29"/>
      <c r="C15" s="30">
        <f ca="1">IFERROR(__xludf.DUMMYFUNCTION("""COMPUTED_VALUE"""),25)</f>
        <v>25</v>
      </c>
      <c r="D15" s="4"/>
      <c r="E15" s="31" t="str">
        <f ca="1">IFERROR(__xludf.DUMMYFUNCTION("QUERY('Helper Data'!A:D, ""Select Col4, count(Col1) group by Col4 order by count(Col1) desc limit 5 label Col4 'Top Positions', count(Col1) 'Total'"")"),"Top Positions")</f>
        <v>Top Positions</v>
      </c>
      <c r="F15" s="32" t="str">
        <f ca="1">IFERROR(__xludf.DUMMYFUNCTION("""COMPUTED_VALUE"""),"Total")</f>
        <v>Total</v>
      </c>
      <c r="G15" s="4"/>
      <c r="H15" s="4"/>
      <c r="I15" s="4"/>
      <c r="J15" s="4"/>
      <c r="K15" s="4"/>
      <c r="L15" s="4"/>
      <c r="M15" s="4"/>
      <c r="N15" s="4"/>
      <c r="O15" s="33" t="s">
        <v>26</v>
      </c>
      <c r="P15" s="34">
        <f ca="1">(E4/(E4+F4)*100)</f>
        <v>50.526315789473685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14.5">
      <c r="A16" s="4"/>
      <c r="B16" s="29" t="str">
        <f ca="1">IFERROR(__xludf.DUMMYFUNCTION("""COMPUTED_VALUE"""),"Alegria, Surigao del Norte")</f>
        <v>Alegria, Surigao del Norte</v>
      </c>
      <c r="C16" s="35">
        <f ca="1">IFERROR(__xludf.DUMMYFUNCTION("""COMPUTED_VALUE"""),1)</f>
        <v>1</v>
      </c>
      <c r="D16" s="4"/>
      <c r="E16" s="36"/>
      <c r="F16" s="37">
        <f ca="1">IFERROR(__xludf.DUMMYFUNCTION("""COMPUTED_VALUE"""),201)</f>
        <v>201</v>
      </c>
      <c r="G16" s="4"/>
      <c r="H16" s="4"/>
      <c r="I16" s="4"/>
      <c r="J16" s="4"/>
      <c r="K16" s="4"/>
      <c r="L16" s="4"/>
      <c r="M16" s="4"/>
      <c r="N16" s="4"/>
      <c r="O16" s="33" t="s">
        <v>27</v>
      </c>
      <c r="P16" s="34">
        <f ca="1">(F4/(E4+F4)*100)</f>
        <v>49.473684210526315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14.5">
      <c r="A17" s="4"/>
      <c r="B17" s="29" t="str">
        <f ca="1">IFERROR(__xludf.DUMMYFUNCTION("""COMPUTED_VALUE"""),"Atega Sub.")</f>
        <v>Atega Sub.</v>
      </c>
      <c r="C17" s="35">
        <f ca="1">IFERROR(__xludf.DUMMYFUNCTION("""COMPUTED_VALUE"""),1)</f>
        <v>1</v>
      </c>
      <c r="D17" s="4"/>
      <c r="E17" s="36" t="str">
        <f ca="1">IFERROR(__xludf.DUMMYFUNCTION("""COMPUTED_VALUE"""),"BSED")</f>
        <v>BSED</v>
      </c>
      <c r="F17" s="38">
        <f ca="1">IFERROR(__xludf.DUMMYFUNCTION("""COMPUTED_VALUE"""),8)</f>
        <v>8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14.5">
      <c r="A18" s="4"/>
      <c r="B18" s="29" t="str">
        <f ca="1">IFERROR(__xludf.DUMMYFUNCTION("""COMPUTED_VALUE"""),"B7 Cabadbaran City")</f>
        <v>B7 Cabadbaran City</v>
      </c>
      <c r="C18" s="35">
        <f ca="1">IFERROR(__xludf.DUMMYFUNCTION("""COMPUTED_VALUE"""),1)</f>
        <v>1</v>
      </c>
      <c r="D18" s="4"/>
      <c r="E18" s="36" t="str">
        <f ca="1">IFERROR(__xludf.DUMMYFUNCTION("""COMPUTED_VALUE"""),"Any position")</f>
        <v>Any position</v>
      </c>
      <c r="F18" s="38">
        <f ca="1">IFERROR(__xludf.DUMMYFUNCTION("""COMPUTED_VALUE"""),6)</f>
        <v>6</v>
      </c>
      <c r="G18" s="4"/>
      <c r="H18" s="4"/>
      <c r="I18" s="39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4.5">
      <c r="A19" s="4"/>
      <c r="B19" s="29" t="str">
        <f ca="1">IFERROR(__xludf.DUMMYFUNCTION("""COMPUTED_VALUE"""),"Baobaoan, Butuan City")</f>
        <v>Baobaoan, Butuan City</v>
      </c>
      <c r="C19" s="35">
        <f ca="1">IFERROR(__xludf.DUMMYFUNCTION("""COMPUTED_VALUE"""),1)</f>
        <v>1</v>
      </c>
      <c r="D19" s="4"/>
      <c r="E19" s="36" t="str">
        <f ca="1">IFERROR(__xludf.DUMMYFUNCTION("""COMPUTED_VALUE"""),"Any kind")</f>
        <v>Any kind</v>
      </c>
      <c r="F19" s="38">
        <f ca="1">IFERROR(__xludf.DUMMYFUNCTION("""COMPUTED_VALUE"""),5)</f>
        <v>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14.5">
      <c r="A20" s="4"/>
      <c r="B20" s="29" t="str">
        <f ca="1">IFERROR(__xludf.DUMMYFUNCTION("""COMPUTED_VALUE"""),"Barangay 7 Purok 2b")</f>
        <v>Barangay 7 Purok 2b</v>
      </c>
      <c r="C20" s="35">
        <f ca="1">IFERROR(__xludf.DUMMYFUNCTION("""COMPUTED_VALUE"""),1)</f>
        <v>1</v>
      </c>
      <c r="D20" s="4"/>
      <c r="E20" s="36" t="str">
        <f ca="1">IFERROR(__xludf.DUMMYFUNCTION("""COMPUTED_VALUE"""),"BEED")</f>
        <v>BEED</v>
      </c>
      <c r="F20" s="38">
        <f ca="1">IFERROR(__xludf.DUMMYFUNCTION("""COMPUTED_VALUE"""),4)</f>
        <v>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4.5">
      <c r="A21" s="4"/>
      <c r="B21" s="29" t="str">
        <f ca="1">IFERROR(__xludf.DUMMYFUNCTION("""COMPUTED_VALUE"""),"Bay-Ang")</f>
        <v>Bay-Ang</v>
      </c>
      <c r="C21" s="35">
        <f ca="1">IFERROR(__xludf.DUMMYFUNCTION("""COMPUTED_VALUE"""),1)</f>
        <v>1</v>
      </c>
      <c r="D21" s="4"/>
      <c r="E21" s="40"/>
      <c r="F21" s="4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4.5">
      <c r="A22" s="4"/>
      <c r="B22" s="29" t="str">
        <f ca="1">IFERROR(__xludf.DUMMYFUNCTION("""COMPUTED_VALUE"""),"Bayabas, Cabadbaran City")</f>
        <v>Bayabas, Cabadbaran City</v>
      </c>
      <c r="C22" s="35">
        <f ca="1">IFERROR(__xludf.DUMMYFUNCTION("""COMPUTED_VALUE"""),3)</f>
        <v>3</v>
      </c>
      <c r="D22" s="4"/>
      <c r="E22" s="16"/>
      <c r="F22" s="1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4.5">
      <c r="A23" s="4"/>
      <c r="B23" s="29" t="str">
        <f ca="1">IFERROR(__xludf.DUMMYFUNCTION("""COMPUTED_VALUE"""),"Bayani")</f>
        <v>Bayani</v>
      </c>
      <c r="C23" s="35">
        <f ca="1">IFERROR(__xludf.DUMMYFUNCTION("""COMPUTED_VALUE"""),1)</f>
        <v>1</v>
      </c>
      <c r="D23" s="4"/>
      <c r="E23" s="16"/>
      <c r="F23" s="1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4.5">
      <c r="A24" s="4"/>
      <c r="B24" s="29" t="str">
        <f ca="1">IFERROR(__xludf.DUMMYFUNCTION("""COMPUTED_VALUE"""),"Bayugan")</f>
        <v>Bayugan</v>
      </c>
      <c r="C24" s="35">
        <f ca="1">IFERROR(__xludf.DUMMYFUNCTION("""COMPUTED_VALUE"""),2)</f>
        <v>2</v>
      </c>
      <c r="D24" s="4"/>
      <c r="E24" s="16"/>
      <c r="F24" s="1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4.5">
      <c r="A25" s="4"/>
      <c r="B25" s="29" t="str">
        <f ca="1">IFERROR(__xludf.DUMMYFUNCTION("""COMPUTED_VALUE"""),"Bayugan City")</f>
        <v>Bayugan City</v>
      </c>
      <c r="C25" s="35">
        <f ca="1">IFERROR(__xludf.DUMMYFUNCTION("""COMPUTED_VALUE"""),1)</f>
        <v>1</v>
      </c>
      <c r="D25" s="4"/>
      <c r="E25" s="16"/>
      <c r="F25" s="1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4.5">
      <c r="A26" s="4"/>
      <c r="B26" s="29" t="str">
        <f ca="1">IFERROR(__xludf.DUMMYFUNCTION("""COMPUTED_VALUE"""),"Brgy 4")</f>
        <v>Brgy 4</v>
      </c>
      <c r="C26" s="35">
        <f ca="1">IFERROR(__xludf.DUMMYFUNCTION("""COMPUTED_VALUE"""),2)</f>
        <v>2</v>
      </c>
      <c r="D26" s="4"/>
      <c r="E26" s="16"/>
      <c r="F26" s="1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4.5">
      <c r="A27" s="4"/>
      <c r="B27" s="29" t="str">
        <f ca="1">IFERROR(__xludf.DUMMYFUNCTION("""COMPUTED_VALUE"""),"Brgy. 10 Cabadbaran City")</f>
        <v>Brgy. 10 Cabadbaran City</v>
      </c>
      <c r="C27" s="35">
        <f ca="1">IFERROR(__xludf.DUMMYFUNCTION("""COMPUTED_VALUE"""),1)</f>
        <v>1</v>
      </c>
      <c r="D27" s="4"/>
      <c r="E27" s="16"/>
      <c r="F27" s="1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4.5">
      <c r="A28" s="4"/>
      <c r="B28" s="29" t="str">
        <f ca="1">IFERROR(__xludf.DUMMYFUNCTION("""COMPUTED_VALUE"""),"Brgy. 9, Cabadbaran City")</f>
        <v>Brgy. 9, Cabadbaran City</v>
      </c>
      <c r="C28" s="35">
        <f ca="1">IFERROR(__xludf.DUMMYFUNCTION("""COMPUTED_VALUE"""),1)</f>
        <v>1</v>
      </c>
      <c r="D28" s="4"/>
      <c r="E28" s="16"/>
      <c r="F28" s="1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4.5">
      <c r="A29" s="4"/>
      <c r="B29" s="29" t="str">
        <f ca="1">IFERROR(__xludf.DUMMYFUNCTION("""COMPUTED_VALUE"""),"Buenavista")</f>
        <v>Buenavista</v>
      </c>
      <c r="C29" s="35">
        <f ca="1">IFERROR(__xludf.DUMMYFUNCTION("""COMPUTED_VALUE"""),5)</f>
        <v>5</v>
      </c>
      <c r="D29" s="4"/>
      <c r="E29" s="16"/>
      <c r="F29" s="1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4.5">
      <c r="A30" s="4"/>
      <c r="B30" s="29" t="str">
        <f ca="1">IFERROR(__xludf.DUMMYFUNCTION("""COMPUTED_VALUE"""),"Butuan")</f>
        <v>Butuan</v>
      </c>
      <c r="C30" s="35">
        <f ca="1">IFERROR(__xludf.DUMMYFUNCTION("""COMPUTED_VALUE"""),54)</f>
        <v>54</v>
      </c>
      <c r="D30" s="4"/>
      <c r="E30" s="16"/>
      <c r="F30" s="1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4.5">
      <c r="A31" s="4"/>
      <c r="B31" s="29" t="str">
        <f ca="1">IFERROR(__xludf.DUMMYFUNCTION("""COMPUTED_VALUE"""),"Butuan City")</f>
        <v>Butuan City</v>
      </c>
      <c r="C31" s="35">
        <f ca="1">IFERROR(__xludf.DUMMYFUNCTION("""COMPUTED_VALUE"""),5)</f>
        <v>5</v>
      </c>
      <c r="D31" s="4"/>
      <c r="E31" s="16"/>
      <c r="F31" s="1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4.5">
      <c r="A32" s="4"/>
      <c r="B32" s="29" t="str">
        <f ca="1">IFERROR(__xludf.DUMMYFUNCTION("""COMPUTED_VALUE"""),"Caasinan, Cabadbaran City")</f>
        <v>Caasinan, Cabadbaran City</v>
      </c>
      <c r="C32" s="35">
        <f ca="1">IFERROR(__xludf.DUMMYFUNCTION("""COMPUTED_VALUE"""),1)</f>
        <v>1</v>
      </c>
      <c r="D32" s="4"/>
      <c r="E32" s="16"/>
      <c r="F32" s="1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4.5">
      <c r="A33" s="4"/>
      <c r="B33" s="29" t="str">
        <f ca="1">IFERROR(__xludf.DUMMYFUNCTION("""COMPUTED_VALUE"""),"Cabadbaran City")</f>
        <v>Cabadbaran City</v>
      </c>
      <c r="C33" s="35">
        <f ca="1">IFERROR(__xludf.DUMMYFUNCTION("""COMPUTED_VALUE"""),14)</f>
        <v>14</v>
      </c>
      <c r="D33" s="4"/>
      <c r="E33" s="16"/>
      <c r="F33" s="1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4.5">
      <c r="A34" s="4"/>
      <c r="B34" s="29" t="str">
        <f ca="1">IFERROR(__xludf.DUMMYFUNCTION("""COMPUTED_VALUE"""),"Cabayawa")</f>
        <v>Cabayawa</v>
      </c>
      <c r="C34" s="35">
        <f ca="1">IFERROR(__xludf.DUMMYFUNCTION("""COMPUTED_VALUE"""),1)</f>
        <v>1</v>
      </c>
      <c r="D34" s="4"/>
      <c r="E34" s="16"/>
      <c r="F34" s="1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4.5">
      <c r="A35" s="4"/>
      <c r="B35" s="29" t="str">
        <f ca="1">IFERROR(__xludf.DUMMYFUNCTION("""COMPUTED_VALUE"""),"Cabinet")</f>
        <v>Cabinet</v>
      </c>
      <c r="C35" s="35">
        <f ca="1">IFERROR(__xludf.DUMMYFUNCTION("""COMPUTED_VALUE"""),1)</f>
        <v>1</v>
      </c>
      <c r="D35" s="4"/>
      <c r="E35" s="16"/>
      <c r="F35" s="1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4.5">
      <c r="A36" s="4"/>
      <c r="B36" s="29" t="str">
        <f ca="1">IFERROR(__xludf.DUMMYFUNCTION("""COMPUTED_VALUE"""),"Cabinet, Cabadaran City")</f>
        <v>Cabinet, Cabadaran City</v>
      </c>
      <c r="C36" s="35">
        <f ca="1">IFERROR(__xludf.DUMMYFUNCTION("""COMPUTED_VALUE"""),2)</f>
        <v>2</v>
      </c>
      <c r="D36" s="4"/>
      <c r="E36" s="16"/>
      <c r="F36" s="1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5">
      <c r="A37" s="4"/>
      <c r="B37" s="29" t="str">
        <f ca="1">IFERROR(__xludf.DUMMYFUNCTION("""COMPUTED_VALUE"""),"Cabinet, Cabadbaran City")</f>
        <v>Cabinet, Cabadbaran City</v>
      </c>
      <c r="C37" s="35">
        <f ca="1">IFERROR(__xludf.DUMMYFUNCTION("""COMPUTED_VALUE"""),1)</f>
        <v>1</v>
      </c>
      <c r="D37" s="4"/>
      <c r="E37" s="16"/>
      <c r="F37" s="1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5">
      <c r="A38" s="4"/>
      <c r="B38" s="29" t="str">
        <f ca="1">IFERROR(__xludf.DUMMYFUNCTION("""COMPUTED_VALUE"""),"Calamba")</f>
        <v>Calamba</v>
      </c>
      <c r="C38" s="35">
        <f ca="1">IFERROR(__xludf.DUMMYFUNCTION("""COMPUTED_VALUE"""),2)</f>
        <v>2</v>
      </c>
      <c r="D38" s="4"/>
      <c r="E38" s="16"/>
      <c r="F38" s="1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5">
      <c r="A39" s="4"/>
      <c r="B39" s="29" t="str">
        <f ca="1">IFERROR(__xludf.DUMMYFUNCTION("""COMPUTED_VALUE"""),"Calibunan, Cabadbaran City")</f>
        <v>Calibunan, Cabadbaran City</v>
      </c>
      <c r="C39" s="35">
        <f ca="1">IFERROR(__xludf.DUMMYFUNCTION("""COMPUTED_VALUE"""),4)</f>
        <v>4</v>
      </c>
      <c r="D39" s="4"/>
      <c r="E39" s="16"/>
      <c r="F39" s="1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5">
      <c r="A40" s="4"/>
      <c r="B40" s="29" t="str">
        <f ca="1">IFERROR(__xludf.DUMMYFUNCTION("""COMPUTED_VALUE"""),"Caloc-An, Magallanes")</f>
        <v>Caloc-An, Magallanes</v>
      </c>
      <c r="C40" s="35">
        <f ca="1">IFERROR(__xludf.DUMMYFUNCTION("""COMPUTED_VALUE"""),1)</f>
        <v>1</v>
      </c>
      <c r="D40" s="4"/>
      <c r="E40" s="16"/>
      <c r="F40" s="1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5">
      <c r="A41" s="4"/>
      <c r="B41" s="29" t="str">
        <f ca="1">IFERROR(__xludf.DUMMYFUNCTION("""COMPUTED_VALUE"""),"Carmen")</f>
        <v>Carmen</v>
      </c>
      <c r="C41" s="35">
        <f ca="1">IFERROR(__xludf.DUMMYFUNCTION("""COMPUTED_VALUE"""),1)</f>
        <v>1</v>
      </c>
      <c r="D41" s="4"/>
      <c r="E41" s="16"/>
      <c r="F41" s="1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5">
      <c r="A42" s="4"/>
      <c r="B42" s="29" t="str">
        <f ca="1">IFERROR(__xludf.DUMMYFUNCTION("""COMPUTED_VALUE"""),"City/Municipality/School/Office")</f>
        <v>City/Municipality/School/Office</v>
      </c>
      <c r="C42" s="35">
        <f ca="1">IFERROR(__xludf.DUMMYFUNCTION("""COMPUTED_VALUE"""),1)</f>
        <v>1</v>
      </c>
      <c r="D42" s="4"/>
      <c r="E42" s="16"/>
      <c r="F42" s="1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5">
      <c r="A43" s="4"/>
      <c r="B43" s="29" t="str">
        <f ca="1">IFERROR(__xludf.DUMMYFUNCTION("""COMPUTED_VALUE"""),"Comagascas")</f>
        <v>Comagascas</v>
      </c>
      <c r="C43" s="35">
        <f ca="1">IFERROR(__xludf.DUMMYFUNCTION("""COMPUTED_VALUE"""),1)</f>
        <v>1</v>
      </c>
      <c r="D43" s="4"/>
      <c r="E43" s="16"/>
      <c r="F43" s="1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5">
      <c r="A44" s="4"/>
      <c r="B44" s="29" t="str">
        <f ca="1">IFERROR(__xludf.DUMMYFUNCTION("""COMPUTED_VALUE"""),"Comagascas, Cabadbaran City")</f>
        <v>Comagascas, Cabadbaran City</v>
      </c>
      <c r="C44" s="35">
        <f ca="1">IFERROR(__xludf.DUMMYFUNCTION("""COMPUTED_VALUE"""),3)</f>
        <v>3</v>
      </c>
      <c r="D44" s="4"/>
      <c r="E44" s="16"/>
      <c r="F44" s="1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5">
      <c r="A45" s="4"/>
      <c r="B45" s="29" t="str">
        <f ca="1">IFERROR(__xludf.DUMMYFUNCTION("""COMPUTED_VALUE"""),"Curva, Santiago")</f>
        <v>Curva, Santiago</v>
      </c>
      <c r="C45" s="35">
        <f ca="1">IFERROR(__xludf.DUMMYFUNCTION("""COMPUTED_VALUE"""),1)</f>
        <v>1</v>
      </c>
      <c r="D45" s="4"/>
      <c r="E45" s="16"/>
      <c r="F45" s="1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5">
      <c r="A46" s="4"/>
      <c r="B46" s="29" t="str">
        <f ca="1">IFERROR(__xludf.DUMMYFUNCTION("""COMPUTED_VALUE"""),"Cuto")</f>
        <v>Cuto</v>
      </c>
      <c r="C46" s="35">
        <f ca="1">IFERROR(__xludf.DUMMYFUNCTION("""COMPUTED_VALUE"""),1)</f>
        <v>1</v>
      </c>
      <c r="D46" s="4"/>
      <c r="E46" s="16"/>
      <c r="F46" s="1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5">
      <c r="A47" s="4"/>
      <c r="B47" s="29" t="str">
        <f ca="1">IFERROR(__xludf.DUMMYFUNCTION("""COMPUTED_VALUE"""),"Dal-as, Cabadbaran City")</f>
        <v>Dal-as, Cabadbaran City</v>
      </c>
      <c r="C47" s="35">
        <f ca="1">IFERROR(__xludf.DUMMYFUNCTION("""COMPUTED_VALUE"""),1)</f>
        <v>1</v>
      </c>
      <c r="D47" s="4"/>
      <c r="E47" s="16"/>
      <c r="F47" s="1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5">
      <c r="A48" s="4"/>
      <c r="B48" s="29" t="str">
        <f ca="1">IFERROR(__xludf.DUMMYFUNCTION("""COMPUTED_VALUE"""),"Del Pilar, Cabadbaran City")</f>
        <v>Del Pilar, Cabadbaran City</v>
      </c>
      <c r="C48" s="35">
        <f ca="1">IFERROR(__xludf.DUMMYFUNCTION("""COMPUTED_VALUE"""),2)</f>
        <v>2</v>
      </c>
      <c r="D48" s="4"/>
      <c r="E48" s="16"/>
      <c r="F48" s="1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5">
      <c r="A49" s="4"/>
      <c r="B49" s="29" t="str">
        <f ca="1">IFERROR(__xludf.DUMMYFUNCTION("""COMPUTED_VALUE"""),"Doña Rosario, Tubay")</f>
        <v>Doña Rosario, Tubay</v>
      </c>
      <c r="C49" s="35">
        <f ca="1">IFERROR(__xludf.DUMMYFUNCTION("""COMPUTED_VALUE"""),3)</f>
        <v>3</v>
      </c>
      <c r="D49" s="4"/>
      <c r="E49" s="16"/>
      <c r="F49" s="1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5">
      <c r="A50" s="4"/>
      <c r="B50" s="29" t="str">
        <f ca="1">IFERROR(__xludf.DUMMYFUNCTION("""COMPUTED_VALUE"""),"Gingoog")</f>
        <v>Gingoog</v>
      </c>
      <c r="C50" s="35">
        <f ca="1">IFERROR(__xludf.DUMMYFUNCTION("""COMPUTED_VALUE"""),1)</f>
        <v>1</v>
      </c>
      <c r="D50" s="4"/>
      <c r="E50" s="16"/>
      <c r="F50" s="1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5">
      <c r="A51" s="4"/>
      <c r="B51" s="29" t="str">
        <f ca="1">IFERROR(__xludf.DUMMYFUNCTION("""COMPUTED_VALUE"""),"Jabonga")</f>
        <v>Jabonga</v>
      </c>
      <c r="C51" s="35">
        <f ca="1">IFERROR(__xludf.DUMMYFUNCTION("""COMPUTED_VALUE"""),3)</f>
        <v>3</v>
      </c>
      <c r="D51" s="4"/>
      <c r="E51" s="16"/>
      <c r="F51" s="1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5">
      <c r="A52" s="4"/>
      <c r="B52" s="29" t="str">
        <f ca="1">IFERROR(__xludf.DUMMYFUNCTION("""COMPUTED_VALUE"""),"Jagupit, Santiago")</f>
        <v>Jagupit, Santiago</v>
      </c>
      <c r="C52" s="35">
        <f ca="1">IFERROR(__xludf.DUMMYFUNCTION("""COMPUTED_VALUE"""),2)</f>
        <v>2</v>
      </c>
      <c r="D52" s="4"/>
      <c r="E52" s="16"/>
      <c r="F52" s="1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5">
      <c r="A53" s="4"/>
      <c r="B53" s="29" t="str">
        <f ca="1">IFERROR(__xludf.DUMMYFUNCTION("""COMPUTED_VALUE"""),"Katugasan, Cabadbaran City")</f>
        <v>Katugasan, Cabadbaran City</v>
      </c>
      <c r="C53" s="35">
        <f ca="1">IFERROR(__xludf.DUMMYFUNCTION("""COMPUTED_VALUE"""),3)</f>
        <v>3</v>
      </c>
      <c r="D53" s="4"/>
      <c r="E53" s="16"/>
      <c r="F53" s="1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5">
      <c r="A54" s="4"/>
      <c r="B54" s="29" t="str">
        <f ca="1">IFERROR(__xludf.DUMMYFUNCTION("""COMPUTED_VALUE"""),"Kauswagan")</f>
        <v>Kauswagan</v>
      </c>
      <c r="C54" s="35">
        <f ca="1">IFERROR(__xludf.DUMMYFUNCTION("""COMPUTED_VALUE"""),2)</f>
        <v>2</v>
      </c>
      <c r="D54" s="4"/>
      <c r="E54" s="16"/>
      <c r="F54" s="1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5">
      <c r="A55" s="4"/>
      <c r="B55" s="29" t="str">
        <f ca="1">IFERROR(__xludf.DUMMYFUNCTION("""COMPUTED_VALUE"""),"Kauswagan, Cabadbaran City")</f>
        <v>Kauswagan, Cabadbaran City</v>
      </c>
      <c r="C55" s="35">
        <f ca="1">IFERROR(__xludf.DUMMYFUNCTION("""COMPUTED_VALUE"""),2)</f>
        <v>2</v>
      </c>
      <c r="D55" s="4"/>
      <c r="E55" s="16"/>
      <c r="F55" s="1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5">
      <c r="A56" s="4"/>
      <c r="B56" s="29" t="str">
        <f ca="1">IFERROR(__xludf.DUMMYFUNCTION("""COMPUTED_VALUE"""),"Kitcharao")</f>
        <v>Kitcharao</v>
      </c>
      <c r="C56" s="35">
        <f ca="1">IFERROR(__xludf.DUMMYFUNCTION("""COMPUTED_VALUE"""),3)</f>
        <v>3</v>
      </c>
      <c r="D56" s="4"/>
      <c r="E56" s="16"/>
      <c r="F56" s="1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5">
      <c r="A57" s="4"/>
      <c r="B57" s="29" t="str">
        <f ca="1">IFERROR(__xludf.DUMMYFUNCTION("""COMPUTED_VALUE"""),"La Union")</f>
        <v>La Union</v>
      </c>
      <c r="C57" s="35">
        <f ca="1">IFERROR(__xludf.DUMMYFUNCTION("""COMPUTED_VALUE"""),1)</f>
        <v>1</v>
      </c>
      <c r="D57" s="4"/>
      <c r="E57" s="16"/>
      <c r="F57" s="1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5">
      <c r="A58" s="4"/>
      <c r="B58" s="29" t="str">
        <f ca="1">IFERROR(__xludf.DUMMYFUNCTION("""COMPUTED_VALUE"""),"La Union, Cabadbaran City")</f>
        <v>La Union, Cabadbaran City</v>
      </c>
      <c r="C58" s="35">
        <f ca="1">IFERROR(__xludf.DUMMYFUNCTION("""COMPUTED_VALUE"""),3)</f>
        <v>3</v>
      </c>
      <c r="D58" s="4"/>
      <c r="E58" s="16"/>
      <c r="F58" s="1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5">
      <c r="A59" s="4"/>
      <c r="B59" s="29" t="str">
        <f ca="1">IFERROR(__xludf.DUMMYFUNCTION("""COMPUTED_VALUE"""),"Lusong, Puting Bato")</f>
        <v>Lusong, Puting Bato</v>
      </c>
      <c r="C59" s="35">
        <f ca="1">IFERROR(__xludf.DUMMYFUNCTION("""COMPUTED_VALUE"""),2)</f>
        <v>2</v>
      </c>
      <c r="D59" s="4"/>
      <c r="E59" s="16"/>
      <c r="F59" s="1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5">
      <c r="A60" s="4"/>
      <c r="B60" s="29" t="str">
        <f ca="1">IFERROR(__xludf.DUMMYFUNCTION("""COMPUTED_VALUE"""),"Mabini")</f>
        <v>Mabini</v>
      </c>
      <c r="C60" s="35">
        <f ca="1">IFERROR(__xludf.DUMMYFUNCTION("""COMPUTED_VALUE"""),1)</f>
        <v>1</v>
      </c>
      <c r="D60" s="4"/>
      <c r="E60" s="16"/>
      <c r="F60" s="1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5">
      <c r="A61" s="4"/>
      <c r="B61" s="29" t="str">
        <f ca="1">IFERROR(__xludf.DUMMYFUNCTION("""COMPUTED_VALUE"""),"Mabuhion, Cabadbaran City")</f>
        <v>Mabuhion, Cabadbaran City</v>
      </c>
      <c r="C61" s="35">
        <f ca="1">IFERROR(__xludf.DUMMYFUNCTION("""COMPUTED_VALUE"""),1)</f>
        <v>1</v>
      </c>
      <c r="D61" s="4"/>
      <c r="E61" s="16"/>
      <c r="F61" s="1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5">
      <c r="A62" s="4"/>
      <c r="B62" s="29" t="str">
        <f ca="1">IFERROR(__xludf.DUMMYFUNCTION("""COMPUTED_VALUE"""),"Magallanes")</f>
        <v>Magallanes</v>
      </c>
      <c r="C62" s="35">
        <f ca="1">IFERROR(__xludf.DUMMYFUNCTION("""COMPUTED_VALUE"""),7)</f>
        <v>7</v>
      </c>
      <c r="D62" s="4"/>
      <c r="E62" s="16"/>
      <c r="F62" s="1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5">
      <c r="A63" s="4"/>
      <c r="B63" s="29" t="str">
        <f ca="1">IFERROR(__xludf.DUMMYFUNCTION("""COMPUTED_VALUE"""),"Mahaba")</f>
        <v>Mahaba</v>
      </c>
      <c r="C63" s="35">
        <f ca="1">IFERROR(__xludf.DUMMYFUNCTION("""COMPUTED_VALUE"""),2)</f>
        <v>2</v>
      </c>
      <c r="D63" s="4"/>
      <c r="E63" s="16"/>
      <c r="F63" s="1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5">
      <c r="A64" s="4"/>
      <c r="B64" s="29" t="str">
        <f ca="1">IFERROR(__xludf.DUMMYFUNCTION("""COMPUTED_VALUE"""),"Mainit, Surigao del Norte")</f>
        <v>Mainit, Surigao del Norte</v>
      </c>
      <c r="C64" s="35">
        <f ca="1">IFERROR(__xludf.DUMMYFUNCTION("""COMPUTED_VALUE"""),1)</f>
        <v>1</v>
      </c>
      <c r="D64" s="4"/>
      <c r="E64" s="16"/>
      <c r="F64" s="1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5">
      <c r="A65" s="4"/>
      <c r="B65" s="29" t="str">
        <f ca="1">IFERROR(__xludf.DUMMYFUNCTION("""COMPUTED_VALUE"""),"Nasipit")</f>
        <v>Nasipit</v>
      </c>
      <c r="C65" s="35">
        <f ca="1">IFERROR(__xludf.DUMMYFUNCTION("""COMPUTED_VALUE"""),6)</f>
        <v>6</v>
      </c>
      <c r="D65" s="4"/>
      <c r="E65" s="16"/>
      <c r="F65" s="1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5">
      <c r="A66" s="4"/>
      <c r="B66" s="29" t="str">
        <f ca="1">IFERROR(__xludf.DUMMYFUNCTION("""COMPUTED_VALUE"""),"P-1 Brgy 9")</f>
        <v>P-1 Brgy 9</v>
      </c>
      <c r="C66" s="35">
        <f ca="1">IFERROR(__xludf.DUMMYFUNCTION("""COMPUTED_VALUE"""),2)</f>
        <v>2</v>
      </c>
      <c r="D66" s="4"/>
      <c r="E66" s="16"/>
      <c r="F66" s="1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5">
      <c r="A67" s="4"/>
      <c r="B67" s="29" t="str">
        <f ca="1">IFERROR(__xludf.DUMMYFUNCTION("""COMPUTED_VALUE"""),"P-1 Kitcharao")</f>
        <v>P-1 Kitcharao</v>
      </c>
      <c r="C67" s="35">
        <f ca="1">IFERROR(__xludf.DUMMYFUNCTION("""COMPUTED_VALUE"""),1)</f>
        <v>1</v>
      </c>
      <c r="D67" s="4"/>
      <c r="E67" s="16"/>
      <c r="F67" s="1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5">
      <c r="A68" s="4"/>
      <c r="B68" s="29" t="str">
        <f ca="1">IFERROR(__xludf.DUMMYFUNCTION("""COMPUTED_VALUE"""),"P-1 Soriano Cabadbaran City")</f>
        <v>P-1 Soriano Cabadbaran City</v>
      </c>
      <c r="C68" s="35">
        <f ca="1">IFERROR(__xludf.DUMMYFUNCTION("""COMPUTED_VALUE"""),1)</f>
        <v>1</v>
      </c>
      <c r="D68" s="4"/>
      <c r="E68" s="16"/>
      <c r="F68" s="1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5">
      <c r="A69" s="4"/>
      <c r="B69" s="29" t="str">
        <f ca="1">IFERROR(__xludf.DUMMYFUNCTION("""COMPUTED_VALUE"""),"P-1 Taod-Oy")</f>
        <v>P-1 Taod-Oy</v>
      </c>
      <c r="C69" s="35">
        <f ca="1">IFERROR(__xludf.DUMMYFUNCTION("""COMPUTED_VALUE"""),2)</f>
        <v>2</v>
      </c>
      <c r="D69" s="4"/>
      <c r="E69" s="16"/>
      <c r="F69" s="1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5">
      <c r="A70" s="4"/>
      <c r="B70" s="29" t="str">
        <f ca="1">IFERROR(__xludf.DUMMYFUNCTION("""COMPUTED_VALUE"""),"P-1 Tolosa")</f>
        <v>P-1 Tolosa</v>
      </c>
      <c r="C70" s="35">
        <f ca="1">IFERROR(__xludf.DUMMYFUNCTION("""COMPUTED_VALUE"""),1)</f>
        <v>1</v>
      </c>
      <c r="D70" s="4"/>
      <c r="E70" s="16"/>
      <c r="F70" s="1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5">
      <c r="A71" s="4"/>
      <c r="B71" s="29" t="str">
        <f ca="1">IFERROR(__xludf.DUMMYFUNCTION("""COMPUTED_VALUE"""),"P-1 Tubay")</f>
        <v>P-1 Tubay</v>
      </c>
      <c r="C71" s="35">
        <f ca="1">IFERROR(__xludf.DUMMYFUNCTION("""COMPUTED_VALUE"""),1)</f>
        <v>1</v>
      </c>
      <c r="D71" s="4"/>
      <c r="E71" s="16"/>
      <c r="F71" s="1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5">
      <c r="A72" s="4"/>
      <c r="B72" s="29" t="str">
        <f ca="1">IFERROR(__xludf.DUMMYFUNCTION("""COMPUTED_VALUE"""),"P-11 Mayon La Union")</f>
        <v>P-11 Mayon La Union</v>
      </c>
      <c r="C72" s="35">
        <f ca="1">IFERROR(__xludf.DUMMYFUNCTION("""COMPUTED_VALUE"""),1)</f>
        <v>1</v>
      </c>
      <c r="D72" s="4"/>
      <c r="E72" s="16"/>
      <c r="F72" s="1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5">
      <c r="A73" s="4"/>
      <c r="B73" s="29" t="str">
        <f ca="1">IFERROR(__xludf.DUMMYFUNCTION("""COMPUTED_VALUE"""),"P-11 Tubay")</f>
        <v>P-11 Tubay</v>
      </c>
      <c r="C73" s="35">
        <f ca="1">IFERROR(__xludf.DUMMYFUNCTION("""COMPUTED_VALUE"""),1)</f>
        <v>1</v>
      </c>
      <c r="D73" s="4"/>
      <c r="E73" s="16"/>
      <c r="F73" s="1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5">
      <c r="A74" s="4"/>
      <c r="B74" s="29" t="str">
        <f ca="1">IFERROR(__xludf.DUMMYFUNCTION("""COMPUTED_VALUE"""),"P-2 Cabinet")</f>
        <v>P-2 Cabinet</v>
      </c>
      <c r="C74" s="35">
        <f ca="1">IFERROR(__xludf.DUMMYFUNCTION("""COMPUTED_VALUE"""),2)</f>
        <v>2</v>
      </c>
      <c r="D74" s="4"/>
      <c r="E74" s="16"/>
      <c r="F74" s="1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5">
      <c r="A75" s="4"/>
      <c r="B75" s="29" t="str">
        <f ca="1">IFERROR(__xludf.DUMMYFUNCTION("""COMPUTED_VALUE"""),"P-2 Calibunan Cabadbaran City")</f>
        <v>P-2 Calibunan Cabadbaran City</v>
      </c>
      <c r="C75" s="35">
        <f ca="1">IFERROR(__xludf.DUMMYFUNCTION("""COMPUTED_VALUE"""),1)</f>
        <v>1</v>
      </c>
      <c r="D75" s="4"/>
      <c r="E75" s="16"/>
      <c r="F75" s="1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5">
      <c r="A76" s="4"/>
      <c r="B76" s="29" t="str">
        <f ca="1">IFERROR(__xludf.DUMMYFUNCTION("""COMPUTED_VALUE"""),"P-2 Humilog RTR")</f>
        <v>P-2 Humilog RTR</v>
      </c>
      <c r="C76" s="35">
        <f ca="1">IFERROR(__xludf.DUMMYFUNCTION("""COMPUTED_VALUE"""),1)</f>
        <v>1</v>
      </c>
      <c r="D76" s="4"/>
      <c r="E76" s="16"/>
      <c r="F76" s="1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5">
      <c r="A77" s="4"/>
      <c r="B77" s="29" t="str">
        <f ca="1">IFERROR(__xludf.DUMMYFUNCTION("""COMPUTED_VALUE"""),"P-2 Marcos, Magallanes")</f>
        <v>P-2 Marcos, Magallanes</v>
      </c>
      <c r="C77" s="35">
        <f ca="1">IFERROR(__xludf.DUMMYFUNCTION("""COMPUTED_VALUE"""),1)</f>
        <v>1</v>
      </c>
      <c r="D77" s="4"/>
      <c r="E77" s="16"/>
      <c r="F77" s="1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5">
      <c r="A78" s="4"/>
      <c r="B78" s="29" t="str">
        <f ca="1">IFERROR(__xludf.DUMMYFUNCTION("""COMPUTED_VALUE"""),"P-2 Sanghan")</f>
        <v>P-2 Sanghan</v>
      </c>
      <c r="C78" s="35">
        <f ca="1">IFERROR(__xludf.DUMMYFUNCTION("""COMPUTED_VALUE"""),3)</f>
        <v>3</v>
      </c>
      <c r="D78" s="4"/>
      <c r="E78" s="16"/>
      <c r="F78" s="1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5">
      <c r="A79" s="4"/>
      <c r="B79" s="29" t="str">
        <f ca="1">IFERROR(__xludf.DUMMYFUNCTION("""COMPUTED_VALUE"""),"P-3 Antonioluna")</f>
        <v>P-3 Antonioluna</v>
      </c>
      <c r="C79" s="35">
        <f ca="1">IFERROR(__xludf.DUMMYFUNCTION("""COMPUTED_VALUE"""),2)</f>
        <v>2</v>
      </c>
      <c r="D79" s="4"/>
      <c r="E79" s="16"/>
      <c r="F79" s="1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5">
      <c r="A80" s="4"/>
      <c r="B80" s="29" t="str">
        <f ca="1">IFERROR(__xludf.DUMMYFUNCTION("""COMPUTED_VALUE"""),"P-3 Brgy 3")</f>
        <v>P-3 Brgy 3</v>
      </c>
      <c r="C80" s="35">
        <f ca="1">IFERROR(__xludf.DUMMYFUNCTION("""COMPUTED_VALUE"""),1)</f>
        <v>1</v>
      </c>
      <c r="D80" s="4"/>
      <c r="E80" s="16"/>
      <c r="F80" s="1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5">
      <c r="A81" s="4"/>
      <c r="B81" s="29" t="str">
        <f ca="1">IFERROR(__xludf.DUMMYFUNCTION("""COMPUTED_VALUE"""),"P-3 Brgy 7")</f>
        <v>P-3 Brgy 7</v>
      </c>
      <c r="C81" s="35">
        <f ca="1">IFERROR(__xludf.DUMMYFUNCTION("""COMPUTED_VALUE"""),1)</f>
        <v>1</v>
      </c>
      <c r="D81" s="4"/>
      <c r="E81" s="16"/>
      <c r="F81" s="1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5">
      <c r="A82" s="4"/>
      <c r="B82" s="29" t="str">
        <f ca="1">IFERROR(__xludf.DUMMYFUNCTION("""COMPUTED_VALUE"""),"P-3 Calibunan")</f>
        <v>P-3 Calibunan</v>
      </c>
      <c r="C82" s="35">
        <f ca="1">IFERROR(__xludf.DUMMYFUNCTION("""COMPUTED_VALUE"""),1)</f>
        <v>1</v>
      </c>
      <c r="D82" s="4"/>
      <c r="E82" s="16"/>
      <c r="F82" s="1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5">
      <c r="A83" s="4"/>
      <c r="B83" s="29" t="str">
        <f ca="1">IFERROR(__xludf.DUMMYFUNCTION("""COMPUTED_VALUE"""),"P-3 Caloc-an, Magallanes")</f>
        <v>P-3 Caloc-an, Magallanes</v>
      </c>
      <c r="C83" s="35">
        <f ca="1">IFERROR(__xludf.DUMMYFUNCTION("""COMPUTED_VALUE"""),1)</f>
        <v>1</v>
      </c>
      <c r="D83" s="4"/>
      <c r="E83" s="16"/>
      <c r="F83" s="1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5">
      <c r="A84" s="4"/>
      <c r="B84" s="29" t="str">
        <f ca="1">IFERROR(__xludf.DUMMYFUNCTION("""COMPUTED_VALUE"""),"P-3 Humilog RTR")</f>
        <v>P-3 Humilog RTR</v>
      </c>
      <c r="C84" s="35">
        <f ca="1">IFERROR(__xludf.DUMMYFUNCTION("""COMPUTED_VALUE"""),1)</f>
        <v>1</v>
      </c>
      <c r="D84" s="4"/>
      <c r="E84" s="16"/>
      <c r="F84" s="1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5">
      <c r="A85" s="4"/>
      <c r="B85" s="29" t="str">
        <f ca="1">IFERROR(__xludf.DUMMYFUNCTION("""COMPUTED_VALUE"""),"P-3 Santiago")</f>
        <v>P-3 Santiago</v>
      </c>
      <c r="C85" s="35">
        <f ca="1">IFERROR(__xludf.DUMMYFUNCTION("""COMPUTED_VALUE"""),1)</f>
        <v>1</v>
      </c>
      <c r="D85" s="4"/>
      <c r="E85" s="16"/>
      <c r="F85" s="1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4.5">
      <c r="A86" s="4"/>
      <c r="B86" s="29" t="str">
        <f ca="1">IFERROR(__xludf.DUMMYFUNCTION("""COMPUTED_VALUE"""),"P-4 Bancasi")</f>
        <v>P-4 Bancasi</v>
      </c>
      <c r="C86" s="35">
        <f ca="1">IFERROR(__xludf.DUMMYFUNCTION("""COMPUTED_VALUE"""),1)</f>
        <v>1</v>
      </c>
      <c r="D86" s="4"/>
      <c r="E86" s="16"/>
      <c r="F86" s="1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4.5">
      <c r="A87" s="4"/>
      <c r="B87" s="29" t="str">
        <f ca="1">IFERROR(__xludf.DUMMYFUNCTION("""COMPUTED_VALUE"""),"P-4 Basilisa")</f>
        <v>P-4 Basilisa</v>
      </c>
      <c r="C87" s="35">
        <f ca="1">IFERROR(__xludf.DUMMYFUNCTION("""COMPUTED_VALUE"""),1)</f>
        <v>1</v>
      </c>
      <c r="D87" s="4"/>
      <c r="E87" s="16"/>
      <c r="F87" s="1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4.5">
      <c r="A88" s="4"/>
      <c r="B88" s="29" t="str">
        <f ca="1">IFERROR(__xludf.DUMMYFUNCTION("""COMPUTED_VALUE"""),"P-4 Brgy 12 Cabadbaran City")</f>
        <v>P-4 Brgy 12 Cabadbaran City</v>
      </c>
      <c r="C88" s="35">
        <f ca="1">IFERROR(__xludf.DUMMYFUNCTION("""COMPUTED_VALUE"""),1)</f>
        <v>1</v>
      </c>
      <c r="D88" s="4"/>
      <c r="E88" s="16"/>
      <c r="F88" s="1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4.5">
      <c r="A89" s="4"/>
      <c r="B89" s="29" t="str">
        <f ca="1">IFERROR(__xludf.DUMMYFUNCTION("""COMPUTED_VALUE"""),"P-4 Concepcion Cabadbaran City")</f>
        <v>P-4 Concepcion Cabadbaran City</v>
      </c>
      <c r="C89" s="35">
        <f ca="1">IFERROR(__xludf.DUMMYFUNCTION("""COMPUTED_VALUE"""),1)</f>
        <v>1</v>
      </c>
      <c r="D89" s="4"/>
      <c r="E89" s="16"/>
      <c r="F89" s="1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4.5">
      <c r="A90" s="4"/>
      <c r="B90" s="29" t="str">
        <f ca="1">IFERROR(__xludf.DUMMYFUNCTION("""COMPUTED_VALUE"""),"P-4 Katugasan, Cabadbaran City")</f>
        <v>P-4 Katugasan, Cabadbaran City</v>
      </c>
      <c r="C90" s="35">
        <f ca="1">IFERROR(__xludf.DUMMYFUNCTION("""COMPUTED_VALUE"""),1)</f>
        <v>1</v>
      </c>
      <c r="D90" s="4"/>
      <c r="E90" s="16"/>
      <c r="F90" s="1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4.5">
      <c r="A91" s="4"/>
      <c r="B91" s="29" t="str">
        <f ca="1">IFERROR(__xludf.DUMMYFUNCTION("""COMPUTED_VALUE"""),"P-4 La Union")</f>
        <v>P-4 La Union</v>
      </c>
      <c r="C91" s="35">
        <f ca="1">IFERROR(__xludf.DUMMYFUNCTION("""COMPUTED_VALUE"""),1)</f>
        <v>1</v>
      </c>
      <c r="D91" s="4"/>
      <c r="E91" s="16"/>
      <c r="F91" s="1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4.5">
      <c r="A92" s="4"/>
      <c r="B92" s="29" t="str">
        <f ca="1">IFERROR(__xludf.DUMMYFUNCTION("""COMPUTED_VALUE"""),"P-4 Tolosa")</f>
        <v>P-4 Tolosa</v>
      </c>
      <c r="C92" s="35">
        <f ca="1">IFERROR(__xludf.DUMMYFUNCTION("""COMPUTED_VALUE"""),1)</f>
        <v>1</v>
      </c>
      <c r="D92" s="4"/>
      <c r="E92" s="16"/>
      <c r="F92" s="1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4.5">
      <c r="A93" s="4"/>
      <c r="B93" s="29" t="str">
        <f ca="1">IFERROR(__xludf.DUMMYFUNCTION("""COMPUTED_VALUE"""),"P-5 Alegria")</f>
        <v>P-5 Alegria</v>
      </c>
      <c r="C93" s="35">
        <f ca="1">IFERROR(__xludf.DUMMYFUNCTION("""COMPUTED_VALUE"""),1)</f>
        <v>1</v>
      </c>
      <c r="D93" s="4"/>
      <c r="E93" s="16"/>
      <c r="F93" s="1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4.5">
      <c r="A94" s="4"/>
      <c r="B94" s="29" t="str">
        <f ca="1">IFERROR(__xludf.DUMMYFUNCTION("""COMPUTED_VALUE"""),"P-5 Cabadbaran City")</f>
        <v>P-5 Cabadbaran City</v>
      </c>
      <c r="C94" s="35">
        <f ca="1">IFERROR(__xludf.DUMMYFUNCTION("""COMPUTED_VALUE"""),1)</f>
        <v>1</v>
      </c>
      <c r="D94" s="4"/>
      <c r="E94" s="16"/>
      <c r="F94" s="1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4.5">
      <c r="A95" s="4"/>
      <c r="B95" s="29" t="str">
        <f ca="1">IFERROR(__xludf.DUMMYFUNCTION("""COMPUTED_VALUE"""),"P-5 Tolosa, Cabadbaran City")</f>
        <v>P-5 Tolosa, Cabadbaran City</v>
      </c>
      <c r="C95" s="35">
        <f ca="1">IFERROR(__xludf.DUMMYFUNCTION("""COMPUTED_VALUE"""),1)</f>
        <v>1</v>
      </c>
      <c r="D95" s="4"/>
      <c r="E95" s="16"/>
      <c r="F95" s="1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4.5">
      <c r="A96" s="4"/>
      <c r="B96" s="29" t="str">
        <f ca="1">IFERROR(__xludf.DUMMYFUNCTION("""COMPUTED_VALUE"""),"P-6 Brgy. Cabayawa")</f>
        <v>P-6 Brgy. Cabayawa</v>
      </c>
      <c r="C96" s="35">
        <f ca="1">IFERROR(__xludf.DUMMYFUNCTION("""COMPUTED_VALUE"""),1)</f>
        <v>1</v>
      </c>
      <c r="D96" s="4"/>
      <c r="E96" s="16"/>
      <c r="F96" s="1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4.5">
      <c r="A97" s="4"/>
      <c r="B97" s="29" t="str">
        <f ca="1">IFERROR(__xludf.DUMMYFUNCTION("""COMPUTED_VALUE"""),"P-6 Kitcharao")</f>
        <v>P-6 Kitcharao</v>
      </c>
      <c r="C97" s="35">
        <f ca="1">IFERROR(__xludf.DUMMYFUNCTION("""COMPUTED_VALUE"""),1)</f>
        <v>1</v>
      </c>
      <c r="D97" s="4"/>
      <c r="E97" s="16"/>
      <c r="F97" s="1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4.5">
      <c r="A98" s="4"/>
      <c r="B98" s="29" t="str">
        <f ca="1">IFERROR(__xludf.DUMMYFUNCTION("""COMPUTED_VALUE"""),"P-6 San Antonio")</f>
        <v>P-6 San Antonio</v>
      </c>
      <c r="C98" s="35">
        <f ca="1">IFERROR(__xludf.DUMMYFUNCTION("""COMPUTED_VALUE"""),1)</f>
        <v>1</v>
      </c>
      <c r="D98" s="4"/>
      <c r="E98" s="16"/>
      <c r="F98" s="1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4.5">
      <c r="A99" s="4"/>
      <c r="B99" s="29" t="str">
        <f ca="1">IFERROR(__xludf.DUMMYFUNCTION("""COMPUTED_VALUE"""),"P-6 Tolosa")</f>
        <v>P-6 Tolosa</v>
      </c>
      <c r="C99" s="35">
        <f ca="1">IFERROR(__xludf.DUMMYFUNCTION("""COMPUTED_VALUE"""),1)</f>
        <v>1</v>
      </c>
      <c r="D99" s="4"/>
      <c r="E99" s="16"/>
      <c r="F99" s="1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4.5">
      <c r="A100" s="4"/>
      <c r="B100" s="29" t="str">
        <f ca="1">IFERROR(__xludf.DUMMYFUNCTION("""COMPUTED_VALUE"""),"P-7 Puting Bato")</f>
        <v>P-7 Puting Bato</v>
      </c>
      <c r="C100" s="35">
        <f ca="1">IFERROR(__xludf.DUMMYFUNCTION("""COMPUTED_VALUE"""),1)</f>
        <v>1</v>
      </c>
      <c r="D100" s="4"/>
      <c r="E100" s="16"/>
      <c r="F100" s="1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4.5">
      <c r="A101" s="4"/>
      <c r="B101" s="29" t="str">
        <f ca="1">IFERROR(__xludf.DUMMYFUNCTION("""COMPUTED_VALUE"""),"P-8 Alegria")</f>
        <v>P-8 Alegria</v>
      </c>
      <c r="C101" s="35">
        <f ca="1">IFERROR(__xludf.DUMMYFUNCTION("""COMPUTED_VALUE"""),2)</f>
        <v>2</v>
      </c>
      <c r="D101" s="4"/>
      <c r="E101" s="16"/>
      <c r="F101" s="1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4.5">
      <c r="A102" s="4"/>
      <c r="B102" s="29" t="str">
        <f ca="1">IFERROR(__xludf.DUMMYFUNCTION("""COMPUTED_VALUE"""),"P-8 Caasinan,Cabadbaran City")</f>
        <v>P-8 Caasinan,Cabadbaran City</v>
      </c>
      <c r="C102" s="35">
        <f ca="1">IFERROR(__xludf.DUMMYFUNCTION("""COMPUTED_VALUE"""),1)</f>
        <v>1</v>
      </c>
      <c r="D102" s="4"/>
      <c r="E102" s="16"/>
      <c r="F102" s="1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4.5">
      <c r="A103" s="4"/>
      <c r="B103" s="29" t="str">
        <f ca="1">IFERROR(__xludf.DUMMYFUNCTION("""COMPUTED_VALUE"""),"P-San Antonio, RTR")</f>
        <v>P-San Antonio, RTR</v>
      </c>
      <c r="C103" s="35">
        <f ca="1">IFERROR(__xludf.DUMMYFUNCTION("""COMPUTED_VALUE"""),1)</f>
        <v>1</v>
      </c>
      <c r="D103" s="4"/>
      <c r="E103" s="16"/>
      <c r="F103" s="1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4.5">
      <c r="A104" s="4"/>
      <c r="B104" s="29" t="str">
        <f ca="1">IFERROR(__xludf.DUMMYFUNCTION("""COMPUTED_VALUE"""),"P6 Brgy. Comagascas")</f>
        <v>P6 Brgy. Comagascas</v>
      </c>
      <c r="C104" s="35">
        <f ca="1">IFERROR(__xludf.DUMMYFUNCTION("""COMPUTED_VALUE"""),1)</f>
        <v>1</v>
      </c>
      <c r="D104" s="4"/>
      <c r="E104" s="16"/>
      <c r="F104" s="1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4.5">
      <c r="A105" s="4"/>
      <c r="B105" s="29" t="str">
        <f ca="1">IFERROR(__xludf.DUMMYFUNCTION("""COMPUTED_VALUE"""),"PARS")</f>
        <v>PARS</v>
      </c>
      <c r="C105" s="35">
        <f ca="1">IFERROR(__xludf.DUMMYFUNCTION("""COMPUTED_VALUE"""),1)</f>
        <v>1</v>
      </c>
      <c r="D105" s="4"/>
      <c r="E105" s="16"/>
      <c r="F105" s="1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4.5">
      <c r="A106" s="4"/>
      <c r="B106" s="29" t="str">
        <f ca="1">IFERROR(__xludf.DUMMYFUNCTION("""COMPUTED_VALUE"""),"Poblacion 2, Cabadbaran City")</f>
        <v>Poblacion 2, Cabadbaran City</v>
      </c>
      <c r="C106" s="35">
        <f ca="1">IFERROR(__xludf.DUMMYFUNCTION("""COMPUTED_VALUE"""),1)</f>
        <v>1</v>
      </c>
      <c r="D106" s="4"/>
      <c r="E106" s="16"/>
      <c r="F106" s="1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5">
      <c r="A107" s="4"/>
      <c r="B107" s="29" t="str">
        <f ca="1">IFERROR(__xludf.DUMMYFUNCTION("""COMPUTED_VALUE"""),"Poblacion 3, Cabadbaran City")</f>
        <v>Poblacion 3, Cabadbaran City</v>
      </c>
      <c r="C107" s="35">
        <f ca="1">IFERROR(__xludf.DUMMYFUNCTION("""COMPUTED_VALUE"""),1)</f>
        <v>1</v>
      </c>
      <c r="D107" s="4"/>
      <c r="E107" s="16"/>
      <c r="F107" s="1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5">
      <c r="A108" s="4"/>
      <c r="B108" s="29" t="str">
        <f ca="1">IFERROR(__xludf.DUMMYFUNCTION("""COMPUTED_VALUE"""),"Poblacion Jabonga")</f>
        <v>Poblacion Jabonga</v>
      </c>
      <c r="C108" s="35">
        <f ca="1">IFERROR(__xludf.DUMMYFUNCTION("""COMPUTED_VALUE"""),1)</f>
        <v>1</v>
      </c>
      <c r="D108" s="4"/>
      <c r="E108" s="16"/>
      <c r="F108" s="1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5">
      <c r="A109" s="4"/>
      <c r="B109" s="29" t="str">
        <f ca="1">IFERROR(__xludf.DUMMYFUNCTION("""COMPUTED_VALUE"""),"Prosperidad")</f>
        <v>Prosperidad</v>
      </c>
      <c r="C109" s="35">
        <f ca="1">IFERROR(__xludf.DUMMYFUNCTION("""COMPUTED_VALUE"""),2)</f>
        <v>2</v>
      </c>
      <c r="D109" s="4"/>
      <c r="E109" s="16"/>
      <c r="F109" s="1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5">
      <c r="A110" s="4"/>
      <c r="B110" s="29" t="str">
        <f ca="1">IFERROR(__xludf.DUMMYFUNCTION("""COMPUTED_VALUE"""),"Purok 3 Barangay 9")</f>
        <v>Purok 3 Barangay 9</v>
      </c>
      <c r="C110" s="35">
        <f ca="1">IFERROR(__xludf.DUMMYFUNCTION("""COMPUTED_VALUE"""),1)</f>
        <v>1</v>
      </c>
      <c r="D110" s="4"/>
      <c r="E110" s="16"/>
      <c r="F110" s="1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5">
      <c r="A111" s="4"/>
      <c r="B111" s="29" t="str">
        <f ca="1">IFERROR(__xludf.DUMMYFUNCTION("""COMPUTED_VALUE"""),"Purok 3 Soriano")</f>
        <v>Purok 3 Soriano</v>
      </c>
      <c r="C111" s="35">
        <f ca="1">IFERROR(__xludf.DUMMYFUNCTION("""COMPUTED_VALUE"""),1)</f>
        <v>1</v>
      </c>
      <c r="D111" s="4"/>
      <c r="E111" s="16"/>
      <c r="F111" s="1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5">
      <c r="A112" s="4"/>
      <c r="B112" s="29" t="str">
        <f ca="1">IFERROR(__xludf.DUMMYFUNCTION("""COMPUTED_VALUE"""),"Purok-8 Bancasi")</f>
        <v>Purok-8 Bancasi</v>
      </c>
      <c r="C112" s="35">
        <f ca="1">IFERROR(__xludf.DUMMYFUNCTION("""COMPUTED_VALUE"""),1)</f>
        <v>1</v>
      </c>
      <c r="D112" s="4"/>
      <c r="E112" s="16"/>
      <c r="F112" s="1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4.5">
      <c r="A113" s="4"/>
      <c r="B113" s="29" t="str">
        <f ca="1">IFERROR(__xludf.DUMMYFUNCTION("""COMPUTED_VALUE"""),"Puting Bato")</f>
        <v>Puting Bato</v>
      </c>
      <c r="C113" s="35">
        <f ca="1">IFERROR(__xludf.DUMMYFUNCTION("""COMPUTED_VALUE"""),1)</f>
        <v>1</v>
      </c>
      <c r="D113" s="4"/>
      <c r="E113" s="16"/>
      <c r="F113" s="1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4.5">
      <c r="A114" s="4"/>
      <c r="B114" s="29" t="str">
        <f ca="1">IFERROR(__xludf.DUMMYFUNCTION("""COMPUTED_VALUE"""),"RTR")</f>
        <v>RTR</v>
      </c>
      <c r="C114" s="35">
        <f ca="1">IFERROR(__xludf.DUMMYFUNCTION("""COMPUTED_VALUE"""),11)</f>
        <v>11</v>
      </c>
      <c r="D114" s="4"/>
      <c r="E114" s="16"/>
      <c r="F114" s="1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4.5">
      <c r="A115" s="4"/>
      <c r="B115" s="29" t="str">
        <f ca="1">IFERROR(__xludf.DUMMYFUNCTION("""COMPUTED_VALUE"""),"San-Isidro, Santiago")</f>
        <v>San-Isidro, Santiago</v>
      </c>
      <c r="C115" s="35">
        <f ca="1">IFERROR(__xludf.DUMMYFUNCTION("""COMPUTED_VALUE"""),1)</f>
        <v>1</v>
      </c>
      <c r="D115" s="4"/>
      <c r="E115" s="16"/>
      <c r="F115" s="1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4.5">
      <c r="A116" s="4"/>
      <c r="B116" s="29" t="str">
        <f ca="1">IFERROR(__xludf.DUMMYFUNCTION("""COMPUTED_VALUE"""),"Sanghan, Cabadbaran City")</f>
        <v>Sanghan, Cabadbaran City</v>
      </c>
      <c r="C116" s="35">
        <f ca="1">IFERROR(__xludf.DUMMYFUNCTION("""COMPUTED_VALUE"""),3)</f>
        <v>3</v>
      </c>
      <c r="D116" s="4"/>
      <c r="E116" s="16"/>
      <c r="F116" s="1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4.5">
      <c r="A117" s="4"/>
      <c r="B117" s="29" t="str">
        <f ca="1">IFERROR(__xludf.DUMMYFUNCTION("""COMPUTED_VALUE"""),"Sanghay")</f>
        <v>Sanghay</v>
      </c>
      <c r="C117" s="35">
        <f ca="1">IFERROR(__xludf.DUMMYFUNCTION("""COMPUTED_VALUE"""),1)</f>
        <v>1</v>
      </c>
      <c r="D117" s="4"/>
      <c r="E117" s="16"/>
      <c r="F117" s="1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4.5">
      <c r="A118" s="4"/>
      <c r="B118" s="29" t="str">
        <f ca="1">IFERROR(__xludf.DUMMYFUNCTION("""COMPUTED_VALUE"""),"Santiago")</f>
        <v>Santiago</v>
      </c>
      <c r="C118" s="35">
        <f ca="1">IFERROR(__xludf.DUMMYFUNCTION("""COMPUTED_VALUE"""),2)</f>
        <v>2</v>
      </c>
      <c r="D118" s="4"/>
      <c r="E118" s="16"/>
      <c r="F118" s="1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4.5">
      <c r="A119" s="4"/>
      <c r="B119" s="29" t="str">
        <f ca="1">IFERROR(__xludf.DUMMYFUNCTION("""COMPUTED_VALUE"""),"Saughan")</f>
        <v>Saughan</v>
      </c>
      <c r="C119" s="35">
        <f ca="1">IFERROR(__xludf.DUMMYFUNCTION("""COMPUTED_VALUE"""),1)</f>
        <v>1</v>
      </c>
      <c r="D119" s="4"/>
      <c r="E119" s="16"/>
      <c r="F119" s="1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4.5">
      <c r="A120" s="4"/>
      <c r="B120" s="29" t="str">
        <f ca="1">IFERROR(__xludf.DUMMYFUNCTION("""COMPUTED_VALUE"""),"Sibagat")</f>
        <v>Sibagat</v>
      </c>
      <c r="C120" s="35">
        <f ca="1">IFERROR(__xludf.DUMMYFUNCTION("""COMPUTED_VALUE"""),2)</f>
        <v>2</v>
      </c>
      <c r="D120" s="4"/>
      <c r="E120" s="16"/>
      <c r="F120" s="1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4.5">
      <c r="A121" s="4"/>
      <c r="B121" s="29" t="str">
        <f ca="1">IFERROR(__xludf.DUMMYFUNCTION("""COMPUTED_VALUE"""),"Soriano")</f>
        <v>Soriano</v>
      </c>
      <c r="C121" s="35">
        <f ca="1">IFERROR(__xludf.DUMMYFUNCTION("""COMPUTED_VALUE"""),2)</f>
        <v>2</v>
      </c>
      <c r="D121" s="4"/>
      <c r="E121" s="16"/>
      <c r="F121" s="1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4.5">
      <c r="A122" s="4"/>
      <c r="B122" s="29" t="str">
        <f ca="1">IFERROR(__xludf.DUMMYFUNCTION("""COMPUTED_VALUE"""),"Sta. Ana, Tubay")</f>
        <v>Sta. Ana, Tubay</v>
      </c>
      <c r="C122" s="35">
        <f ca="1">IFERROR(__xludf.DUMMYFUNCTION("""COMPUTED_VALUE"""),1)</f>
        <v>1</v>
      </c>
      <c r="D122" s="4"/>
      <c r="E122" s="16"/>
      <c r="F122" s="1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4.5">
      <c r="A123" s="4"/>
      <c r="B123" s="29" t="str">
        <f ca="1">IFERROR(__xludf.DUMMYFUNCTION("""COMPUTED_VALUE"""),"Sto. Niño, Magallanes")</f>
        <v>Sto. Niño, Magallanes</v>
      </c>
      <c r="C123" s="35">
        <f ca="1">IFERROR(__xludf.DUMMYFUNCTION("""COMPUTED_VALUE"""),2)</f>
        <v>2</v>
      </c>
      <c r="D123" s="4"/>
      <c r="E123" s="16"/>
      <c r="F123" s="1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4.5">
      <c r="A124" s="4"/>
      <c r="B124" s="29" t="str">
        <f ca="1">IFERROR(__xludf.DUMMYFUNCTION("""COMPUTED_VALUE"""),"Sud. R")</f>
        <v>Sud. R</v>
      </c>
      <c r="C124" s="35">
        <f ca="1">IFERROR(__xludf.DUMMYFUNCTION("""COMPUTED_VALUE"""),1)</f>
        <v>1</v>
      </c>
      <c r="D124" s="4"/>
      <c r="E124" s="16"/>
      <c r="F124" s="1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4.5">
      <c r="A125" s="4"/>
      <c r="B125" s="29" t="str">
        <f ca="1">IFERROR(__xludf.DUMMYFUNCTION("""COMPUTED_VALUE"""),"Surigao")</f>
        <v>Surigao</v>
      </c>
      <c r="C125" s="35">
        <f ca="1">IFERROR(__xludf.DUMMYFUNCTION("""COMPUTED_VALUE"""),1)</f>
        <v>1</v>
      </c>
      <c r="D125" s="4"/>
      <c r="E125" s="16"/>
      <c r="F125" s="1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4.5">
      <c r="A126" s="4"/>
      <c r="B126" s="29" t="str">
        <f ca="1">IFERROR(__xludf.DUMMYFUNCTION("""COMPUTED_VALUE"""),"Tagbongabong")</f>
        <v>Tagbongabong</v>
      </c>
      <c r="C126" s="35">
        <f ca="1">IFERROR(__xludf.DUMMYFUNCTION("""COMPUTED_VALUE"""),1)</f>
        <v>1</v>
      </c>
      <c r="D126" s="4"/>
      <c r="E126" s="16"/>
      <c r="F126" s="1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4.5">
      <c r="A127" s="4"/>
      <c r="B127" s="29" t="str">
        <f ca="1">IFERROR(__xludf.DUMMYFUNCTION("""COMPUTED_VALUE"""),"Tiniwisan")</f>
        <v>Tiniwisan</v>
      </c>
      <c r="C127" s="35">
        <f ca="1">IFERROR(__xludf.DUMMYFUNCTION("""COMPUTED_VALUE"""),1)</f>
        <v>1</v>
      </c>
      <c r="D127" s="4"/>
      <c r="E127" s="16"/>
      <c r="F127" s="1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4.5">
      <c r="A128" s="4"/>
      <c r="B128" s="29" t="str">
        <f ca="1">IFERROR(__xludf.DUMMYFUNCTION("""COMPUTED_VALUE"""),"Tiniwisan, Butuan City")</f>
        <v>Tiniwisan, Butuan City</v>
      </c>
      <c r="C128" s="35">
        <f ca="1">IFERROR(__xludf.DUMMYFUNCTION("""COMPUTED_VALUE"""),1)</f>
        <v>1</v>
      </c>
      <c r="D128" s="4"/>
      <c r="E128" s="16"/>
      <c r="F128" s="1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4.5">
      <c r="A129" s="4"/>
      <c r="B129" s="29" t="str">
        <f ca="1">IFERROR(__xludf.DUMMYFUNCTION("""COMPUTED_VALUE"""),"Tolosa, Cabadbaran City")</f>
        <v>Tolosa, Cabadbaran City</v>
      </c>
      <c r="C129" s="35">
        <f ca="1">IFERROR(__xludf.DUMMYFUNCTION("""COMPUTED_VALUE"""),6)</f>
        <v>6</v>
      </c>
      <c r="D129" s="4"/>
      <c r="E129" s="16"/>
      <c r="F129" s="1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4.5">
      <c r="A130" s="4"/>
      <c r="B130" s="29" t="str">
        <f ca="1">IFERROR(__xludf.DUMMYFUNCTION("""COMPUTED_VALUE"""),"Tubay")</f>
        <v>Tubay</v>
      </c>
      <c r="C130" s="35">
        <f ca="1">IFERROR(__xludf.DUMMYFUNCTION("""COMPUTED_VALUE"""),5)</f>
        <v>5</v>
      </c>
      <c r="D130" s="4"/>
      <c r="E130" s="16"/>
      <c r="F130" s="1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5">
      <c r="A131" s="4"/>
      <c r="B131" s="29" t="str">
        <f ca="1">IFERROR(__xludf.DUMMYFUNCTION("""COMPUTED_VALUE"""),"Victory, Tubay")</f>
        <v>Victory, Tubay</v>
      </c>
      <c r="C131" s="35">
        <f ca="1">IFERROR(__xludf.DUMMYFUNCTION("""COMPUTED_VALUE"""),1)</f>
        <v>1</v>
      </c>
      <c r="D131" s="4"/>
      <c r="E131" s="16"/>
      <c r="F131" s="1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5">
      <c r="A132" s="4"/>
      <c r="B132" s="29"/>
      <c r="C132" s="35"/>
      <c r="D132" s="4"/>
      <c r="E132" s="16"/>
      <c r="F132" s="1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5">
      <c r="A133" s="4"/>
      <c r="B133" s="29"/>
      <c r="C133" s="35"/>
      <c r="D133" s="4"/>
      <c r="E133" s="16"/>
      <c r="F133" s="1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5">
      <c r="A134" s="4"/>
      <c r="B134" s="29"/>
      <c r="C134" s="35"/>
      <c r="D134" s="4"/>
      <c r="E134" s="16"/>
      <c r="F134" s="1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5">
      <c r="A135" s="4"/>
      <c r="B135" s="29"/>
      <c r="C135" s="35"/>
      <c r="D135" s="4"/>
      <c r="E135" s="16"/>
      <c r="F135" s="1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5">
      <c r="A136" s="4"/>
      <c r="B136" s="29"/>
      <c r="C136" s="35"/>
      <c r="D136" s="4"/>
      <c r="E136" s="16"/>
      <c r="F136" s="1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5">
      <c r="A137" s="4"/>
      <c r="B137" s="29"/>
      <c r="C137" s="35"/>
      <c r="D137" s="4"/>
      <c r="E137" s="16"/>
      <c r="F137" s="1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5">
      <c r="A138" s="4"/>
      <c r="B138" s="29"/>
      <c r="C138" s="35"/>
      <c r="D138" s="4"/>
      <c r="E138" s="16"/>
      <c r="F138" s="1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5">
      <c r="A139" s="4"/>
      <c r="B139" s="29"/>
      <c r="C139" s="35"/>
      <c r="D139" s="4"/>
      <c r="E139" s="16"/>
      <c r="F139" s="1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5">
      <c r="A140" s="4"/>
      <c r="B140" s="29"/>
      <c r="C140" s="35"/>
      <c r="D140" s="4"/>
      <c r="E140" s="16"/>
      <c r="F140" s="1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5">
      <c r="A141" s="4"/>
      <c r="B141" s="29"/>
      <c r="C141" s="35"/>
      <c r="D141" s="4"/>
      <c r="E141" s="16"/>
      <c r="F141" s="1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5">
      <c r="A142" s="4"/>
      <c r="B142" s="29"/>
      <c r="C142" s="35"/>
      <c r="D142" s="4"/>
      <c r="E142" s="16"/>
      <c r="F142" s="1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5">
      <c r="A143" s="4"/>
      <c r="B143" s="29"/>
      <c r="C143" s="35"/>
      <c r="D143" s="4"/>
      <c r="E143" s="16"/>
      <c r="F143" s="1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5">
      <c r="A144" s="4"/>
      <c r="B144" s="29"/>
      <c r="C144" s="35"/>
      <c r="D144" s="4"/>
      <c r="E144" s="16"/>
      <c r="F144" s="1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4.5">
      <c r="A145" s="4"/>
      <c r="B145" s="29"/>
      <c r="C145" s="35"/>
      <c r="D145" s="4"/>
      <c r="E145" s="16"/>
      <c r="F145" s="1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4.5">
      <c r="A146" s="4"/>
      <c r="B146" s="29"/>
      <c r="C146" s="35"/>
      <c r="D146" s="4"/>
      <c r="E146" s="16"/>
      <c r="F146" s="1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4.5">
      <c r="A147" s="4"/>
      <c r="B147" s="29"/>
      <c r="C147" s="35"/>
      <c r="D147" s="4"/>
      <c r="E147" s="16"/>
      <c r="F147" s="1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4.5">
      <c r="A148" s="4"/>
      <c r="B148" s="29"/>
      <c r="C148" s="35"/>
      <c r="D148" s="4"/>
      <c r="E148" s="16"/>
      <c r="F148" s="1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4.5">
      <c r="A149" s="4"/>
      <c r="B149" s="29"/>
      <c r="C149" s="35"/>
      <c r="D149" s="4"/>
      <c r="E149" s="16"/>
      <c r="F149" s="1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4.5">
      <c r="A150" s="4"/>
      <c r="B150" s="29"/>
      <c r="C150" s="35"/>
      <c r="D150" s="4"/>
      <c r="E150" s="16"/>
      <c r="F150" s="1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4.5">
      <c r="A151" s="4"/>
      <c r="B151" s="29"/>
      <c r="C151" s="35"/>
      <c r="D151" s="4"/>
      <c r="E151" s="16"/>
      <c r="F151" s="1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4.5">
      <c r="A152" s="4"/>
      <c r="B152" s="29"/>
      <c r="C152" s="35"/>
      <c r="D152" s="4"/>
      <c r="E152" s="16"/>
      <c r="F152" s="1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4.5">
      <c r="A153" s="4"/>
      <c r="B153" s="29"/>
      <c r="C153" s="35"/>
      <c r="D153" s="4"/>
      <c r="E153" s="16"/>
      <c r="F153" s="1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4.5">
      <c r="A154" s="4"/>
      <c r="B154" s="29"/>
      <c r="C154" s="35"/>
      <c r="D154" s="4"/>
      <c r="E154" s="16"/>
      <c r="F154" s="1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4.5">
      <c r="A155" s="4"/>
      <c r="B155" s="29"/>
      <c r="C155" s="35"/>
      <c r="D155" s="4"/>
      <c r="E155" s="16"/>
      <c r="F155" s="1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4.5">
      <c r="A156" s="4"/>
      <c r="B156" s="29"/>
      <c r="C156" s="35"/>
      <c r="D156" s="4"/>
      <c r="E156" s="16"/>
      <c r="F156" s="1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4.5">
      <c r="A157" s="4"/>
      <c r="B157" s="29"/>
      <c r="C157" s="35"/>
      <c r="D157" s="4"/>
      <c r="E157" s="16"/>
      <c r="F157" s="1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4.5">
      <c r="A158" s="4"/>
      <c r="B158" s="29"/>
      <c r="C158" s="35"/>
      <c r="D158" s="4"/>
      <c r="E158" s="16"/>
      <c r="F158" s="1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4.5">
      <c r="A159" s="4"/>
      <c r="B159" s="29"/>
      <c r="C159" s="35"/>
      <c r="D159" s="4"/>
      <c r="E159" s="16"/>
      <c r="F159" s="1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4.5">
      <c r="A160" s="4"/>
      <c r="B160" s="29"/>
      <c r="C160" s="35"/>
      <c r="D160" s="4"/>
      <c r="E160" s="16"/>
      <c r="F160" s="1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4.5">
      <c r="A161" s="4"/>
      <c r="B161" s="29"/>
      <c r="C161" s="35"/>
      <c r="D161" s="4"/>
      <c r="E161" s="16"/>
      <c r="F161" s="1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4.5">
      <c r="A162" s="4"/>
      <c r="B162" s="29"/>
      <c r="C162" s="35"/>
      <c r="D162" s="4"/>
      <c r="E162" s="16"/>
      <c r="F162" s="1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4.5">
      <c r="A163" s="4"/>
      <c r="B163" s="29"/>
      <c r="C163" s="35"/>
      <c r="D163" s="4"/>
      <c r="E163" s="16"/>
      <c r="F163" s="1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4.5">
      <c r="A164" s="4"/>
      <c r="B164" s="29"/>
      <c r="C164" s="35"/>
      <c r="D164" s="4"/>
      <c r="E164" s="16"/>
      <c r="F164" s="1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4.5">
      <c r="A165" s="4"/>
      <c r="B165" s="29"/>
      <c r="C165" s="35"/>
      <c r="D165" s="4"/>
      <c r="E165" s="16"/>
      <c r="F165" s="1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4.5">
      <c r="A166" s="4"/>
      <c r="B166" s="29"/>
      <c r="C166" s="35"/>
      <c r="D166" s="4"/>
      <c r="E166" s="16"/>
      <c r="F166" s="1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4.5">
      <c r="A167" s="4"/>
      <c r="B167" s="29"/>
      <c r="C167" s="35"/>
      <c r="D167" s="4"/>
      <c r="E167" s="16"/>
      <c r="F167" s="1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4.5">
      <c r="A168" s="4"/>
      <c r="B168" s="29"/>
      <c r="C168" s="35"/>
      <c r="D168" s="4"/>
      <c r="E168" s="16"/>
      <c r="F168" s="1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4.5">
      <c r="A169" s="4"/>
      <c r="B169" s="29"/>
      <c r="C169" s="35"/>
      <c r="D169" s="4"/>
      <c r="E169" s="16"/>
      <c r="F169" s="1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4.5">
      <c r="A170" s="4"/>
      <c r="B170" s="29"/>
      <c r="C170" s="35"/>
      <c r="D170" s="4"/>
      <c r="E170" s="16"/>
      <c r="F170" s="1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4.5">
      <c r="A171" s="4"/>
      <c r="B171" s="29"/>
      <c r="C171" s="35"/>
      <c r="D171" s="4"/>
      <c r="E171" s="16"/>
      <c r="F171" s="1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4.5">
      <c r="A172" s="4"/>
      <c r="B172" s="29"/>
      <c r="C172" s="35"/>
      <c r="D172" s="4"/>
      <c r="E172" s="16"/>
      <c r="F172" s="1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4.5">
      <c r="A173" s="4"/>
      <c r="B173" s="29"/>
      <c r="C173" s="35"/>
      <c r="D173" s="4"/>
      <c r="E173" s="16"/>
      <c r="F173" s="1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4.5">
      <c r="A174" s="4"/>
      <c r="B174" s="29"/>
      <c r="C174" s="35"/>
      <c r="D174" s="4"/>
      <c r="E174" s="16"/>
      <c r="F174" s="1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4.5">
      <c r="A175" s="4"/>
      <c r="B175" s="29"/>
      <c r="C175" s="35"/>
      <c r="D175" s="4"/>
      <c r="E175" s="16"/>
      <c r="F175" s="1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4.5">
      <c r="A176" s="4"/>
      <c r="B176" s="29"/>
      <c r="C176" s="35"/>
      <c r="D176" s="4"/>
      <c r="E176" s="16"/>
      <c r="F176" s="1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4.5">
      <c r="A177" s="4"/>
      <c r="B177" s="29"/>
      <c r="C177" s="35"/>
      <c r="D177" s="4"/>
      <c r="E177" s="16"/>
      <c r="F177" s="1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4.5">
      <c r="A178" s="4"/>
      <c r="B178" s="29"/>
      <c r="C178" s="35"/>
      <c r="D178" s="4"/>
      <c r="E178" s="16"/>
      <c r="F178" s="1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4.5">
      <c r="A179" s="4"/>
      <c r="B179" s="29"/>
      <c r="C179" s="35"/>
      <c r="D179" s="4"/>
      <c r="E179" s="16"/>
      <c r="F179" s="1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4.5">
      <c r="A180" s="4"/>
      <c r="B180" s="29"/>
      <c r="C180" s="35"/>
      <c r="D180" s="4"/>
      <c r="E180" s="16"/>
      <c r="F180" s="1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4.5">
      <c r="A181" s="4"/>
      <c r="B181" s="29"/>
      <c r="C181" s="35"/>
      <c r="D181" s="4"/>
      <c r="E181" s="16"/>
      <c r="F181" s="1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4.5">
      <c r="A182" s="4"/>
      <c r="B182" s="29"/>
      <c r="C182" s="35"/>
      <c r="D182" s="4"/>
      <c r="E182" s="16"/>
      <c r="F182" s="1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4.5">
      <c r="A183" s="4"/>
      <c r="B183" s="29"/>
      <c r="C183" s="35"/>
      <c r="D183" s="4"/>
      <c r="E183" s="16"/>
      <c r="F183" s="1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4.5">
      <c r="A184" s="4"/>
      <c r="B184" s="29"/>
      <c r="C184" s="35"/>
      <c r="D184" s="4"/>
      <c r="E184" s="16"/>
      <c r="F184" s="1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4.5">
      <c r="A185" s="4"/>
      <c r="B185" s="29"/>
      <c r="C185" s="35"/>
      <c r="D185" s="4"/>
      <c r="E185" s="16"/>
      <c r="F185" s="1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4.5">
      <c r="A186" s="4"/>
      <c r="B186" s="29"/>
      <c r="C186" s="35"/>
      <c r="D186" s="4"/>
      <c r="E186" s="16"/>
      <c r="F186" s="1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4.5">
      <c r="A187" s="4"/>
      <c r="B187" s="29"/>
      <c r="C187" s="35"/>
      <c r="D187" s="4"/>
      <c r="E187" s="16"/>
      <c r="F187" s="1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4.5">
      <c r="A188" s="4"/>
      <c r="B188" s="29"/>
      <c r="C188" s="35"/>
      <c r="D188" s="4"/>
      <c r="E188" s="16"/>
      <c r="F188" s="1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4.5">
      <c r="A189" s="4"/>
      <c r="B189" s="29"/>
      <c r="C189" s="35"/>
      <c r="D189" s="4"/>
      <c r="E189" s="16"/>
      <c r="F189" s="1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4.5">
      <c r="A190" s="4"/>
      <c r="B190" s="29"/>
      <c r="C190" s="35"/>
      <c r="D190" s="4"/>
      <c r="E190" s="16"/>
      <c r="F190" s="1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4.5">
      <c r="A191" s="4"/>
      <c r="B191" s="29"/>
      <c r="C191" s="35"/>
      <c r="D191" s="4"/>
      <c r="E191" s="16"/>
      <c r="F191" s="1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4.5">
      <c r="A192" s="4"/>
      <c r="B192" s="29"/>
      <c r="C192" s="35"/>
      <c r="D192" s="4"/>
      <c r="E192" s="16"/>
      <c r="F192" s="1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4.5">
      <c r="A193" s="4"/>
      <c r="B193" s="29"/>
      <c r="C193" s="35"/>
      <c r="D193" s="4"/>
      <c r="E193" s="16"/>
      <c r="F193" s="1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4.5">
      <c r="A194" s="4"/>
      <c r="B194" s="29"/>
      <c r="C194" s="35"/>
      <c r="D194" s="4"/>
      <c r="E194" s="16"/>
      <c r="F194" s="1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4.5">
      <c r="A195" s="4"/>
      <c r="B195" s="29"/>
      <c r="C195" s="35"/>
      <c r="D195" s="4"/>
      <c r="E195" s="16"/>
      <c r="F195" s="1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4.5">
      <c r="A196" s="4"/>
      <c r="B196" s="29"/>
      <c r="C196" s="35"/>
      <c r="D196" s="4"/>
      <c r="E196" s="16"/>
      <c r="F196" s="1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4.5">
      <c r="A197" s="4"/>
      <c r="B197" s="29"/>
      <c r="C197" s="35"/>
      <c r="D197" s="4"/>
      <c r="E197" s="16"/>
      <c r="F197" s="1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4.5">
      <c r="A198" s="4"/>
      <c r="B198" s="29"/>
      <c r="C198" s="35"/>
      <c r="D198" s="4"/>
      <c r="E198" s="16"/>
      <c r="F198" s="1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4.5">
      <c r="A199" s="4"/>
      <c r="B199" s="29"/>
      <c r="C199" s="35"/>
      <c r="D199" s="4"/>
      <c r="E199" s="16"/>
      <c r="F199" s="1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4.5">
      <c r="A200" s="4"/>
      <c r="B200" s="29"/>
      <c r="C200" s="35"/>
      <c r="D200" s="4"/>
      <c r="E200" s="16"/>
      <c r="F200" s="1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4.5">
      <c r="A201" s="4"/>
      <c r="B201" s="29"/>
      <c r="C201" s="35"/>
      <c r="D201" s="4"/>
      <c r="E201" s="16"/>
      <c r="F201" s="1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4.5">
      <c r="A202" s="4"/>
      <c r="B202" s="29"/>
      <c r="C202" s="35"/>
      <c r="D202" s="4"/>
      <c r="E202" s="16"/>
      <c r="F202" s="1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4.5">
      <c r="A203" s="4"/>
      <c r="B203" s="29"/>
      <c r="C203" s="35"/>
      <c r="D203" s="4"/>
      <c r="E203" s="16"/>
      <c r="F203" s="1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4.5">
      <c r="A204" s="4"/>
      <c r="B204" s="29"/>
      <c r="C204" s="35"/>
      <c r="D204" s="4"/>
      <c r="E204" s="16"/>
      <c r="F204" s="1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4.5">
      <c r="A205" s="4"/>
      <c r="B205" s="29"/>
      <c r="C205" s="35"/>
      <c r="D205" s="4"/>
      <c r="E205" s="16"/>
      <c r="F205" s="1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4.5">
      <c r="A206" s="4"/>
      <c r="B206" s="29"/>
      <c r="C206" s="35"/>
      <c r="D206" s="4"/>
      <c r="E206" s="16"/>
      <c r="F206" s="1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4.5">
      <c r="A207" s="4"/>
      <c r="B207" s="29"/>
      <c r="C207" s="35"/>
      <c r="D207" s="4"/>
      <c r="E207" s="16"/>
      <c r="F207" s="1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4.5">
      <c r="A208" s="4"/>
      <c r="B208" s="29"/>
      <c r="C208" s="35"/>
      <c r="D208" s="4"/>
      <c r="E208" s="16"/>
      <c r="F208" s="1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4.5">
      <c r="A209" s="4"/>
      <c r="B209" s="29"/>
      <c r="C209" s="35"/>
      <c r="D209" s="4"/>
      <c r="E209" s="16"/>
      <c r="F209" s="1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4.5">
      <c r="A210" s="4"/>
      <c r="B210" s="29"/>
      <c r="C210" s="35"/>
      <c r="D210" s="4"/>
      <c r="E210" s="16"/>
      <c r="F210" s="1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4.5">
      <c r="A211" s="4"/>
      <c r="B211" s="29"/>
      <c r="C211" s="35"/>
      <c r="D211" s="4"/>
      <c r="E211" s="16"/>
      <c r="F211" s="1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4.5">
      <c r="A212" s="4"/>
      <c r="B212" s="29"/>
      <c r="C212" s="35"/>
      <c r="D212" s="4"/>
      <c r="E212" s="16"/>
      <c r="F212" s="1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4.5">
      <c r="A213" s="4"/>
      <c r="B213" s="29"/>
      <c r="C213" s="35"/>
      <c r="D213" s="4"/>
      <c r="E213" s="16"/>
      <c r="F213" s="1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4.5">
      <c r="A214" s="4"/>
      <c r="B214" s="29"/>
      <c r="C214" s="35"/>
      <c r="D214" s="4"/>
      <c r="E214" s="16"/>
      <c r="F214" s="1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4.5">
      <c r="A215" s="4"/>
      <c r="B215" s="29"/>
      <c r="C215" s="35"/>
      <c r="D215" s="4"/>
      <c r="E215" s="16"/>
      <c r="F215" s="1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4.5">
      <c r="A216" s="4"/>
      <c r="B216" s="29"/>
      <c r="C216" s="35"/>
      <c r="D216" s="4"/>
      <c r="E216" s="16"/>
      <c r="F216" s="1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4.5">
      <c r="A217" s="4"/>
      <c r="B217" s="29"/>
      <c r="C217" s="35"/>
      <c r="D217" s="4"/>
      <c r="E217" s="16"/>
      <c r="F217" s="1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4.5">
      <c r="A218" s="4"/>
      <c r="B218" s="29"/>
      <c r="C218" s="35"/>
      <c r="D218" s="4"/>
      <c r="E218" s="16"/>
      <c r="F218" s="1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4.5">
      <c r="A219" s="4"/>
      <c r="B219" s="29"/>
      <c r="C219" s="35"/>
      <c r="D219" s="4"/>
      <c r="E219" s="16"/>
      <c r="F219" s="1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4.5">
      <c r="A220" s="4"/>
      <c r="B220" s="29"/>
      <c r="C220" s="35"/>
      <c r="D220" s="4"/>
      <c r="E220" s="16"/>
      <c r="F220" s="1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4.5">
      <c r="A221" s="4"/>
      <c r="B221" s="29"/>
      <c r="C221" s="35"/>
      <c r="D221" s="4"/>
      <c r="E221" s="16"/>
      <c r="F221" s="1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4.5">
      <c r="A222" s="4"/>
      <c r="B222" s="29"/>
      <c r="C222" s="35"/>
      <c r="D222" s="4"/>
      <c r="E222" s="16"/>
      <c r="F222" s="1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4.5">
      <c r="A223" s="4"/>
      <c r="B223" s="29"/>
      <c r="C223" s="35"/>
      <c r="D223" s="4"/>
      <c r="E223" s="16"/>
      <c r="F223" s="1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4.5">
      <c r="A224" s="4"/>
      <c r="B224" s="29"/>
      <c r="C224" s="35"/>
      <c r="D224" s="4"/>
      <c r="E224" s="16"/>
      <c r="F224" s="1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4.5">
      <c r="A225" s="4"/>
      <c r="B225" s="29"/>
      <c r="C225" s="35"/>
      <c r="D225" s="4"/>
      <c r="E225" s="16"/>
      <c r="F225" s="1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4.5">
      <c r="A226" s="4"/>
      <c r="B226" s="29"/>
      <c r="C226" s="35"/>
      <c r="D226" s="4"/>
      <c r="E226" s="16"/>
      <c r="F226" s="1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4.5">
      <c r="A227" s="4"/>
      <c r="B227" s="29"/>
      <c r="C227" s="35"/>
      <c r="D227" s="4"/>
      <c r="E227" s="16"/>
      <c r="F227" s="1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4.5">
      <c r="A228" s="4"/>
      <c r="B228" s="29"/>
      <c r="C228" s="35"/>
      <c r="D228" s="4"/>
      <c r="E228" s="16"/>
      <c r="F228" s="1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4.5">
      <c r="A229" s="4"/>
      <c r="B229" s="29"/>
      <c r="C229" s="35"/>
      <c r="D229" s="4"/>
      <c r="E229" s="16"/>
      <c r="F229" s="1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4.5">
      <c r="A230" s="4"/>
      <c r="B230" s="29"/>
      <c r="C230" s="35"/>
      <c r="D230" s="4"/>
      <c r="E230" s="16"/>
      <c r="F230" s="1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4.5">
      <c r="A231" s="4"/>
      <c r="B231" s="29"/>
      <c r="C231" s="35"/>
      <c r="D231" s="4"/>
      <c r="E231" s="16"/>
      <c r="F231" s="1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4.5">
      <c r="A232" s="4"/>
      <c r="B232" s="29"/>
      <c r="C232" s="35"/>
      <c r="D232" s="4"/>
      <c r="E232" s="16"/>
      <c r="F232" s="1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4.5">
      <c r="A233" s="4"/>
      <c r="B233" s="29"/>
      <c r="C233" s="35"/>
      <c r="D233" s="4"/>
      <c r="E233" s="16"/>
      <c r="F233" s="1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4.5">
      <c r="A234" s="4"/>
      <c r="B234" s="29"/>
      <c r="C234" s="35"/>
      <c r="D234" s="4"/>
      <c r="E234" s="16"/>
      <c r="F234" s="1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4.5">
      <c r="A235" s="4"/>
      <c r="B235" s="29"/>
      <c r="C235" s="35"/>
      <c r="D235" s="4"/>
      <c r="E235" s="16"/>
      <c r="F235" s="1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4.5">
      <c r="A236" s="4"/>
      <c r="B236" s="29"/>
      <c r="C236" s="35"/>
      <c r="D236" s="4"/>
      <c r="E236" s="16"/>
      <c r="F236" s="1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4.5">
      <c r="A237" s="4"/>
      <c r="B237" s="29"/>
      <c r="C237" s="35"/>
      <c r="D237" s="4"/>
      <c r="E237" s="16"/>
      <c r="F237" s="1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4.5">
      <c r="A238" s="4"/>
      <c r="B238" s="29"/>
      <c r="C238" s="35"/>
      <c r="D238" s="4"/>
      <c r="E238" s="16"/>
      <c r="F238" s="1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4.5">
      <c r="A239" s="4"/>
      <c r="B239" s="29"/>
      <c r="C239" s="35"/>
      <c r="D239" s="4"/>
      <c r="E239" s="16"/>
      <c r="F239" s="1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4.5">
      <c r="A240" s="4"/>
      <c r="B240" s="29"/>
      <c r="C240" s="35"/>
      <c r="D240" s="4"/>
      <c r="E240" s="16"/>
      <c r="F240" s="1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4.5">
      <c r="A241" s="4"/>
      <c r="B241" s="29"/>
      <c r="C241" s="35"/>
      <c r="D241" s="4"/>
      <c r="E241" s="16"/>
      <c r="F241" s="1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4.5">
      <c r="A242" s="4"/>
      <c r="B242" s="29"/>
      <c r="C242" s="35"/>
      <c r="D242" s="4"/>
      <c r="E242" s="16"/>
      <c r="F242" s="1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4.5">
      <c r="A243" s="4"/>
      <c r="B243" s="29"/>
      <c r="C243" s="35"/>
      <c r="D243" s="4"/>
      <c r="E243" s="16"/>
      <c r="F243" s="1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4.5">
      <c r="A244" s="4"/>
      <c r="B244" s="29"/>
      <c r="C244" s="35"/>
      <c r="D244" s="4"/>
      <c r="E244" s="16"/>
      <c r="F244" s="1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4.5">
      <c r="A245" s="4"/>
      <c r="B245" s="29"/>
      <c r="C245" s="35"/>
      <c r="D245" s="4"/>
      <c r="E245" s="16"/>
      <c r="F245" s="1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4.5">
      <c r="A246" s="4"/>
      <c r="B246" s="29"/>
      <c r="C246" s="35"/>
      <c r="D246" s="4"/>
      <c r="E246" s="16"/>
      <c r="F246" s="1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4.5">
      <c r="A247" s="4"/>
      <c r="B247" s="29"/>
      <c r="C247" s="35"/>
      <c r="D247" s="4"/>
      <c r="E247" s="16"/>
      <c r="F247" s="1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4.5">
      <c r="A248" s="4"/>
      <c r="B248" s="29"/>
      <c r="C248" s="35"/>
      <c r="D248" s="4"/>
      <c r="E248" s="16"/>
      <c r="F248" s="1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4.5">
      <c r="A249" s="4"/>
      <c r="B249" s="29"/>
      <c r="C249" s="35"/>
      <c r="D249" s="4"/>
      <c r="E249" s="16"/>
      <c r="F249" s="1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4.5">
      <c r="A250" s="4"/>
      <c r="B250" s="29"/>
      <c r="C250" s="35"/>
      <c r="D250" s="4"/>
      <c r="E250" s="16"/>
      <c r="F250" s="1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4.5">
      <c r="A251" s="4"/>
      <c r="B251" s="29"/>
      <c r="C251" s="35"/>
      <c r="D251" s="4"/>
      <c r="E251" s="16"/>
      <c r="F251" s="1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4.5">
      <c r="A252" s="4"/>
      <c r="B252" s="29"/>
      <c r="C252" s="35"/>
      <c r="D252" s="4"/>
      <c r="E252" s="16"/>
      <c r="F252" s="1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4.5">
      <c r="A253" s="4"/>
      <c r="B253" s="29"/>
      <c r="C253" s="35"/>
      <c r="D253" s="4"/>
      <c r="E253" s="16"/>
      <c r="F253" s="1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4.5">
      <c r="A254" s="4"/>
      <c r="B254" s="29"/>
      <c r="C254" s="35"/>
      <c r="D254" s="4"/>
      <c r="E254" s="16"/>
      <c r="F254" s="1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4.5">
      <c r="A255" s="4"/>
      <c r="B255" s="29"/>
      <c r="C255" s="35"/>
      <c r="D255" s="4"/>
      <c r="E255" s="16"/>
      <c r="F255" s="1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4.5">
      <c r="A256" s="4"/>
      <c r="B256" s="29"/>
      <c r="C256" s="35"/>
      <c r="D256" s="4"/>
      <c r="E256" s="16"/>
      <c r="F256" s="1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4.5">
      <c r="A257" s="4"/>
      <c r="B257" s="29"/>
      <c r="C257" s="35"/>
      <c r="D257" s="4"/>
      <c r="E257" s="16"/>
      <c r="F257" s="1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4.5">
      <c r="A258" s="4"/>
      <c r="B258" s="29"/>
      <c r="C258" s="35"/>
      <c r="D258" s="4"/>
      <c r="E258" s="16"/>
      <c r="F258" s="1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4.5">
      <c r="A259" s="4"/>
      <c r="B259" s="29"/>
      <c r="C259" s="35"/>
      <c r="D259" s="4"/>
      <c r="E259" s="16"/>
      <c r="F259" s="1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4.5">
      <c r="A260" s="4"/>
      <c r="B260" s="29"/>
      <c r="C260" s="35"/>
      <c r="D260" s="4"/>
      <c r="E260" s="16"/>
      <c r="F260" s="1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4.5">
      <c r="A261" s="4"/>
      <c r="B261" s="29"/>
      <c r="C261" s="35"/>
      <c r="D261" s="4"/>
      <c r="E261" s="16"/>
      <c r="F261" s="1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4.5">
      <c r="A262" s="4"/>
      <c r="B262" s="29"/>
      <c r="C262" s="35"/>
      <c r="D262" s="4"/>
      <c r="E262" s="16"/>
      <c r="F262" s="1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4.5">
      <c r="A263" s="4"/>
      <c r="B263" s="29"/>
      <c r="C263" s="35"/>
      <c r="D263" s="4"/>
      <c r="E263" s="16"/>
      <c r="F263" s="1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4.5">
      <c r="A264" s="4"/>
      <c r="B264" s="29"/>
      <c r="C264" s="35"/>
      <c r="D264" s="4"/>
      <c r="E264" s="16"/>
      <c r="F264" s="1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4.5">
      <c r="A265" s="4"/>
      <c r="B265" s="29"/>
      <c r="C265" s="35"/>
      <c r="D265" s="4"/>
      <c r="E265" s="16"/>
      <c r="F265" s="1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4.5">
      <c r="A266" s="4"/>
      <c r="B266" s="29"/>
      <c r="C266" s="35"/>
      <c r="D266" s="4"/>
      <c r="E266" s="16"/>
      <c r="F266" s="1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4.5">
      <c r="A267" s="4"/>
      <c r="B267" s="29"/>
      <c r="C267" s="35"/>
      <c r="D267" s="4"/>
      <c r="E267" s="16"/>
      <c r="F267" s="1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4.5">
      <c r="A268" s="4"/>
      <c r="B268" s="29"/>
      <c r="C268" s="35"/>
      <c r="D268" s="4"/>
      <c r="E268" s="16"/>
      <c r="F268" s="1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4.5">
      <c r="A269" s="4"/>
      <c r="B269" s="29"/>
      <c r="C269" s="35"/>
      <c r="D269" s="4"/>
      <c r="E269" s="16"/>
      <c r="F269" s="1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4.5">
      <c r="A270" s="4"/>
      <c r="B270" s="29"/>
      <c r="C270" s="35"/>
      <c r="D270" s="4"/>
      <c r="E270" s="16"/>
      <c r="F270" s="1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4.5">
      <c r="A271" s="4"/>
      <c r="B271" s="29"/>
      <c r="C271" s="35"/>
      <c r="D271" s="4"/>
      <c r="E271" s="16"/>
      <c r="F271" s="1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4.5">
      <c r="A272" s="4"/>
      <c r="B272" s="29"/>
      <c r="C272" s="35"/>
      <c r="D272" s="4"/>
      <c r="E272" s="16"/>
      <c r="F272" s="1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4.5">
      <c r="A273" s="4"/>
      <c r="B273" s="29"/>
      <c r="C273" s="35"/>
      <c r="D273" s="4"/>
      <c r="E273" s="16"/>
      <c r="F273" s="1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4.5">
      <c r="A274" s="4"/>
      <c r="B274" s="29"/>
      <c r="C274" s="35"/>
      <c r="D274" s="4"/>
      <c r="E274" s="16"/>
      <c r="F274" s="1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4.5">
      <c r="A275" s="4"/>
      <c r="B275" s="29"/>
      <c r="C275" s="35"/>
      <c r="D275" s="4"/>
      <c r="E275" s="16"/>
      <c r="F275" s="1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4.5">
      <c r="A276" s="4"/>
      <c r="B276" s="29"/>
      <c r="C276" s="35"/>
      <c r="D276" s="4"/>
      <c r="E276" s="16"/>
      <c r="F276" s="1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4.5">
      <c r="A277" s="4"/>
      <c r="B277" s="29"/>
      <c r="C277" s="35"/>
      <c r="D277" s="4"/>
      <c r="E277" s="16"/>
      <c r="F277" s="1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4.5">
      <c r="A278" s="4"/>
      <c r="B278" s="29"/>
      <c r="C278" s="35"/>
      <c r="D278" s="4"/>
      <c r="E278" s="16"/>
      <c r="F278" s="1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4.5">
      <c r="A279" s="4"/>
      <c r="B279" s="29"/>
      <c r="C279" s="35"/>
      <c r="D279" s="4"/>
      <c r="E279" s="16"/>
      <c r="F279" s="1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4.5">
      <c r="A280" s="4"/>
      <c r="B280" s="29"/>
      <c r="C280" s="35"/>
      <c r="D280" s="4"/>
      <c r="E280" s="16"/>
      <c r="F280" s="1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4.5">
      <c r="A281" s="4"/>
      <c r="B281" s="29"/>
      <c r="C281" s="35"/>
      <c r="D281" s="4"/>
      <c r="E281" s="16"/>
      <c r="F281" s="1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4.5">
      <c r="A282" s="4"/>
      <c r="B282" s="29"/>
      <c r="C282" s="35"/>
      <c r="D282" s="4"/>
      <c r="E282" s="16"/>
      <c r="F282" s="1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4.5">
      <c r="A283" s="4"/>
      <c r="B283" s="29"/>
      <c r="C283" s="35"/>
      <c r="D283" s="4"/>
      <c r="E283" s="16"/>
      <c r="F283" s="1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4.5">
      <c r="A284" s="4"/>
      <c r="B284" s="29"/>
      <c r="C284" s="35"/>
      <c r="D284" s="4"/>
      <c r="E284" s="16"/>
      <c r="F284" s="1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4.5">
      <c r="A285" s="4"/>
      <c r="B285" s="29"/>
      <c r="C285" s="35"/>
      <c r="D285" s="4"/>
      <c r="E285" s="16"/>
      <c r="F285" s="1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4.5">
      <c r="A286" s="4"/>
      <c r="B286" s="29"/>
      <c r="C286" s="35"/>
      <c r="D286" s="4"/>
      <c r="E286" s="16"/>
      <c r="F286" s="1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4.5">
      <c r="A287" s="4"/>
      <c r="B287" s="29"/>
      <c r="C287" s="35"/>
      <c r="D287" s="4"/>
      <c r="E287" s="16"/>
      <c r="F287" s="1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4.5">
      <c r="A288" s="4"/>
      <c r="B288" s="29"/>
      <c r="C288" s="35"/>
      <c r="D288" s="4"/>
      <c r="E288" s="16"/>
      <c r="F288" s="1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4.5">
      <c r="A289" s="4"/>
      <c r="B289" s="29"/>
      <c r="C289" s="35"/>
      <c r="D289" s="4"/>
      <c r="E289" s="16"/>
      <c r="F289" s="1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4.5">
      <c r="A290" s="4"/>
      <c r="B290" s="29"/>
      <c r="C290" s="35"/>
      <c r="D290" s="4"/>
      <c r="E290" s="16"/>
      <c r="F290" s="1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4.5">
      <c r="A291" s="4"/>
      <c r="B291" s="29"/>
      <c r="C291" s="35"/>
      <c r="D291" s="4"/>
      <c r="E291" s="16"/>
      <c r="F291" s="1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4.5">
      <c r="A292" s="4"/>
      <c r="B292" s="29"/>
      <c r="C292" s="35"/>
      <c r="D292" s="4"/>
      <c r="E292" s="16"/>
      <c r="F292" s="1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4.5">
      <c r="A293" s="4"/>
      <c r="B293" s="29"/>
      <c r="C293" s="35"/>
      <c r="D293" s="4"/>
      <c r="E293" s="16"/>
      <c r="F293" s="1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4.5">
      <c r="A294" s="4"/>
      <c r="B294" s="29"/>
      <c r="C294" s="35"/>
      <c r="D294" s="4"/>
      <c r="E294" s="16"/>
      <c r="F294" s="1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4.5">
      <c r="A295" s="4"/>
      <c r="B295" s="29"/>
      <c r="C295" s="35"/>
      <c r="D295" s="4"/>
      <c r="E295" s="16"/>
      <c r="F295" s="1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4.5">
      <c r="A296" s="4"/>
      <c r="B296" s="29"/>
      <c r="C296" s="35"/>
      <c r="D296" s="4"/>
      <c r="E296" s="16"/>
      <c r="F296" s="1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4.5">
      <c r="A297" s="4"/>
      <c r="B297" s="29"/>
      <c r="C297" s="35"/>
      <c r="D297" s="4"/>
      <c r="E297" s="16"/>
      <c r="F297" s="1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4.5">
      <c r="A298" s="4"/>
      <c r="B298" s="29"/>
      <c r="C298" s="35"/>
      <c r="D298" s="4"/>
      <c r="E298" s="16"/>
      <c r="F298" s="1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4.5">
      <c r="A299" s="4"/>
      <c r="B299" s="29"/>
      <c r="C299" s="35"/>
      <c r="D299" s="4"/>
      <c r="E299" s="16"/>
      <c r="F299" s="1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5">
      <c r="A300" s="4"/>
      <c r="B300" s="29"/>
      <c r="C300" s="35"/>
      <c r="D300" s="4"/>
      <c r="E300" s="16"/>
      <c r="F300" s="1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4.5">
      <c r="A301" s="4"/>
      <c r="B301" s="29"/>
      <c r="C301" s="35"/>
      <c r="D301" s="4"/>
      <c r="E301" s="16"/>
      <c r="F301" s="1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4.5">
      <c r="A302" s="4"/>
      <c r="B302" s="29"/>
      <c r="C302" s="35"/>
      <c r="D302" s="4"/>
      <c r="E302" s="16"/>
      <c r="F302" s="1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4.5">
      <c r="A303" s="4"/>
      <c r="B303" s="29"/>
      <c r="C303" s="35"/>
      <c r="D303" s="4"/>
      <c r="E303" s="16"/>
      <c r="F303" s="1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4.5">
      <c r="A304" s="4"/>
      <c r="B304" s="29"/>
      <c r="C304" s="35"/>
      <c r="D304" s="4"/>
      <c r="E304" s="16"/>
      <c r="F304" s="1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4.5">
      <c r="A305" s="4"/>
      <c r="B305" s="29"/>
      <c r="C305" s="35"/>
      <c r="D305" s="4"/>
      <c r="E305" s="16"/>
      <c r="F305" s="1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4.5">
      <c r="A306" s="4"/>
      <c r="B306" s="29"/>
      <c r="C306" s="35"/>
      <c r="D306" s="4"/>
      <c r="E306" s="16"/>
      <c r="F306" s="1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4.5">
      <c r="A307" s="4"/>
      <c r="B307" s="29"/>
      <c r="C307" s="35"/>
      <c r="D307" s="4"/>
      <c r="E307" s="16"/>
      <c r="F307" s="1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4.5">
      <c r="A308" s="4"/>
      <c r="B308" s="29"/>
      <c r="C308" s="35"/>
      <c r="D308" s="4"/>
      <c r="E308" s="16"/>
      <c r="F308" s="1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4.5">
      <c r="A309" s="4"/>
      <c r="B309" s="29"/>
      <c r="C309" s="35"/>
      <c r="D309" s="4"/>
      <c r="E309" s="16"/>
      <c r="F309" s="1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4.5">
      <c r="A310" s="4"/>
      <c r="B310" s="29"/>
      <c r="C310" s="35"/>
      <c r="D310" s="4"/>
      <c r="E310" s="16"/>
      <c r="F310" s="1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4.5">
      <c r="A311" s="4"/>
      <c r="B311" s="29"/>
      <c r="C311" s="35"/>
      <c r="D311" s="4"/>
      <c r="E311" s="16"/>
      <c r="F311" s="1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4.5">
      <c r="A312" s="4"/>
      <c r="B312" s="29"/>
      <c r="C312" s="35"/>
      <c r="D312" s="4"/>
      <c r="E312" s="16"/>
      <c r="F312" s="1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4.5">
      <c r="A313" s="4"/>
      <c r="B313" s="29"/>
      <c r="C313" s="35"/>
      <c r="D313" s="4"/>
      <c r="E313" s="16"/>
      <c r="F313" s="1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4.5">
      <c r="A314" s="4"/>
      <c r="B314" s="29"/>
      <c r="C314" s="35"/>
      <c r="D314" s="4"/>
      <c r="E314" s="16"/>
      <c r="F314" s="1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4.5">
      <c r="A315" s="4"/>
      <c r="B315" s="29"/>
      <c r="C315" s="35"/>
      <c r="D315" s="4"/>
      <c r="E315" s="16"/>
      <c r="F315" s="1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4.5">
      <c r="A316" s="4"/>
      <c r="B316" s="29"/>
      <c r="C316" s="35"/>
      <c r="D316" s="4"/>
      <c r="E316" s="16"/>
      <c r="F316" s="1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4.5">
      <c r="A317" s="4"/>
      <c r="B317" s="29"/>
      <c r="C317" s="35"/>
      <c r="D317" s="4"/>
      <c r="E317" s="16"/>
      <c r="F317" s="1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4.5">
      <c r="A318" s="4"/>
      <c r="B318" s="29"/>
      <c r="C318" s="35"/>
      <c r="D318" s="4"/>
      <c r="E318" s="16"/>
      <c r="F318" s="1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4.5">
      <c r="A319" s="4"/>
      <c r="B319" s="29"/>
      <c r="C319" s="35"/>
      <c r="D319" s="4"/>
      <c r="E319" s="16"/>
      <c r="F319" s="1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4.5">
      <c r="A320" s="4"/>
      <c r="B320" s="29"/>
      <c r="C320" s="35"/>
      <c r="D320" s="4"/>
      <c r="E320" s="16"/>
      <c r="F320" s="1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4.5">
      <c r="A321" s="4"/>
      <c r="B321" s="29"/>
      <c r="C321" s="35"/>
      <c r="D321" s="4"/>
      <c r="E321" s="16"/>
      <c r="F321" s="1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4.5">
      <c r="A322" s="4"/>
      <c r="B322" s="29"/>
      <c r="C322" s="35"/>
      <c r="D322" s="4"/>
      <c r="E322" s="16"/>
      <c r="F322" s="1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4.5">
      <c r="A323" s="4"/>
      <c r="B323" s="29"/>
      <c r="C323" s="35"/>
      <c r="D323" s="4"/>
      <c r="E323" s="16"/>
      <c r="F323" s="1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4.5">
      <c r="A324" s="4"/>
      <c r="B324" s="29"/>
      <c r="C324" s="35"/>
      <c r="D324" s="4"/>
      <c r="E324" s="16"/>
      <c r="F324" s="1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4.5">
      <c r="A325" s="4"/>
      <c r="B325" s="29"/>
      <c r="C325" s="35"/>
      <c r="D325" s="4"/>
      <c r="E325" s="16"/>
      <c r="F325" s="1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4.5">
      <c r="A326" s="4"/>
      <c r="B326" s="29"/>
      <c r="C326" s="35"/>
      <c r="D326" s="4"/>
      <c r="E326" s="16"/>
      <c r="F326" s="1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4.5">
      <c r="A327" s="4"/>
      <c r="B327" s="29"/>
      <c r="C327" s="35"/>
      <c r="D327" s="4"/>
      <c r="E327" s="16"/>
      <c r="F327" s="1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4.5">
      <c r="A328" s="4"/>
      <c r="B328" s="29"/>
      <c r="C328" s="35"/>
      <c r="D328" s="4"/>
      <c r="E328" s="16"/>
      <c r="F328" s="1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4.5">
      <c r="A329" s="4"/>
      <c r="B329" s="29"/>
      <c r="C329" s="35"/>
      <c r="D329" s="4"/>
      <c r="E329" s="16"/>
      <c r="F329" s="1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4.5">
      <c r="A330" s="4"/>
      <c r="B330" s="29"/>
      <c r="C330" s="35"/>
      <c r="D330" s="4"/>
      <c r="E330" s="16"/>
      <c r="F330" s="1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4.5">
      <c r="A331" s="4"/>
      <c r="B331" s="29"/>
      <c r="C331" s="35"/>
      <c r="D331" s="4"/>
      <c r="E331" s="16"/>
      <c r="F331" s="1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4.5">
      <c r="A332" s="4"/>
      <c r="B332" s="29"/>
      <c r="C332" s="35"/>
      <c r="D332" s="4"/>
      <c r="E332" s="16"/>
      <c r="F332" s="1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4.5">
      <c r="A333" s="4"/>
      <c r="B333" s="29"/>
      <c r="C333" s="35"/>
      <c r="D333" s="4"/>
      <c r="E333" s="16"/>
      <c r="F333" s="1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4.5">
      <c r="A334" s="4"/>
      <c r="B334" s="29"/>
      <c r="C334" s="35"/>
      <c r="D334" s="4"/>
      <c r="E334" s="16"/>
      <c r="F334" s="1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4.5">
      <c r="A335" s="4"/>
      <c r="B335" s="29"/>
      <c r="C335" s="35"/>
      <c r="D335" s="4"/>
      <c r="E335" s="16"/>
      <c r="F335" s="1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4.5">
      <c r="A336" s="4"/>
      <c r="B336" s="29"/>
      <c r="C336" s="35"/>
      <c r="D336" s="4"/>
      <c r="E336" s="16"/>
      <c r="F336" s="1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4.5">
      <c r="A337" s="4"/>
      <c r="B337" s="29"/>
      <c r="C337" s="35"/>
      <c r="D337" s="4"/>
      <c r="E337" s="16"/>
      <c r="F337" s="1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4.5">
      <c r="A338" s="4"/>
      <c r="B338" s="29"/>
      <c r="C338" s="35"/>
      <c r="D338" s="4"/>
      <c r="E338" s="16"/>
      <c r="F338" s="1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4.5">
      <c r="A339" s="4"/>
      <c r="B339" s="29"/>
      <c r="C339" s="35"/>
      <c r="D339" s="4"/>
      <c r="E339" s="16"/>
      <c r="F339" s="1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4.5">
      <c r="A340" s="4"/>
      <c r="B340" s="29"/>
      <c r="C340" s="35"/>
      <c r="D340" s="4"/>
      <c r="E340" s="16"/>
      <c r="F340" s="1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4.5">
      <c r="A341" s="4"/>
      <c r="B341" s="29"/>
      <c r="C341" s="35"/>
      <c r="D341" s="4"/>
      <c r="E341" s="16"/>
      <c r="F341" s="1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4.5">
      <c r="A342" s="4"/>
      <c r="B342" s="29"/>
      <c r="C342" s="35"/>
      <c r="D342" s="4"/>
      <c r="E342" s="16"/>
      <c r="F342" s="1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4.5">
      <c r="A343" s="4"/>
      <c r="B343" s="29"/>
      <c r="C343" s="35"/>
      <c r="D343" s="4"/>
      <c r="E343" s="16"/>
      <c r="F343" s="1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4.5">
      <c r="A344" s="4"/>
      <c r="B344" s="29"/>
      <c r="C344" s="35"/>
      <c r="D344" s="4"/>
      <c r="E344" s="16"/>
      <c r="F344" s="1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4.5">
      <c r="A345" s="4"/>
      <c r="B345" s="29"/>
      <c r="C345" s="35"/>
      <c r="D345" s="4"/>
      <c r="E345" s="16"/>
      <c r="F345" s="1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4.5">
      <c r="A346" s="4"/>
      <c r="B346" s="29"/>
      <c r="C346" s="35"/>
      <c r="D346" s="4"/>
      <c r="E346" s="16"/>
      <c r="F346" s="1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4.5">
      <c r="A347" s="4"/>
      <c r="B347" s="29"/>
      <c r="C347" s="35"/>
      <c r="D347" s="4"/>
      <c r="E347" s="16"/>
      <c r="F347" s="1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4.5">
      <c r="A348" s="4"/>
      <c r="B348" s="29"/>
      <c r="C348" s="35"/>
      <c r="D348" s="4"/>
      <c r="E348" s="16"/>
      <c r="F348" s="1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4.5">
      <c r="A349" s="4"/>
      <c r="B349" s="29"/>
      <c r="C349" s="35"/>
      <c r="D349" s="4"/>
      <c r="E349" s="16"/>
      <c r="F349" s="1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4.5">
      <c r="A350" s="4"/>
      <c r="B350" s="29"/>
      <c r="C350" s="35"/>
      <c r="D350" s="4"/>
      <c r="E350" s="16"/>
      <c r="F350" s="1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4.5">
      <c r="A351" s="4"/>
      <c r="B351" s="29"/>
      <c r="C351" s="35"/>
      <c r="D351" s="4"/>
      <c r="E351" s="16"/>
      <c r="F351" s="1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4.5">
      <c r="A352" s="4"/>
      <c r="B352" s="29"/>
      <c r="C352" s="35"/>
      <c r="D352" s="4"/>
      <c r="E352" s="16"/>
      <c r="F352" s="1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4.5">
      <c r="A353" s="4"/>
      <c r="B353" s="29"/>
      <c r="C353" s="35"/>
      <c r="D353" s="4"/>
      <c r="E353" s="16"/>
      <c r="F353" s="1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4.5">
      <c r="A354" s="4"/>
      <c r="B354" s="29"/>
      <c r="C354" s="35"/>
      <c r="D354" s="4"/>
      <c r="E354" s="16"/>
      <c r="F354" s="1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4.5">
      <c r="A355" s="4"/>
      <c r="B355" s="29"/>
      <c r="C355" s="35"/>
      <c r="D355" s="4"/>
      <c r="E355" s="16"/>
      <c r="F355" s="1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4.5">
      <c r="A356" s="4"/>
      <c r="B356" s="29"/>
      <c r="C356" s="35"/>
      <c r="D356" s="4"/>
      <c r="E356" s="16"/>
      <c r="F356" s="1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4.5">
      <c r="A357" s="4"/>
      <c r="B357" s="29"/>
      <c r="C357" s="35"/>
      <c r="D357" s="4"/>
      <c r="E357" s="16"/>
      <c r="F357" s="1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4.5">
      <c r="A358" s="4"/>
      <c r="B358" s="29"/>
      <c r="C358" s="35"/>
      <c r="D358" s="4"/>
      <c r="E358" s="16"/>
      <c r="F358" s="1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4.5">
      <c r="A359" s="4"/>
      <c r="B359" s="29"/>
      <c r="C359" s="35"/>
      <c r="D359" s="4"/>
      <c r="E359" s="16"/>
      <c r="F359" s="1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4.5">
      <c r="A360" s="4"/>
      <c r="B360" s="29"/>
      <c r="C360" s="35"/>
      <c r="D360" s="4"/>
      <c r="E360" s="16"/>
      <c r="F360" s="1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4.5">
      <c r="A361" s="4"/>
      <c r="B361" s="29"/>
      <c r="C361" s="35"/>
      <c r="D361" s="4"/>
      <c r="E361" s="16"/>
      <c r="F361" s="1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4.5">
      <c r="A362" s="4"/>
      <c r="B362" s="29"/>
      <c r="C362" s="35"/>
      <c r="D362" s="4"/>
      <c r="E362" s="16"/>
      <c r="F362" s="1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4.5">
      <c r="A363" s="4"/>
      <c r="B363" s="29"/>
      <c r="C363" s="35"/>
      <c r="D363" s="4"/>
      <c r="E363" s="16"/>
      <c r="F363" s="1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4.5">
      <c r="A364" s="4"/>
      <c r="B364" s="29"/>
      <c r="C364" s="35"/>
      <c r="D364" s="4"/>
      <c r="E364" s="16"/>
      <c r="F364" s="1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4.5">
      <c r="A365" s="4"/>
      <c r="B365" s="29"/>
      <c r="C365" s="35"/>
      <c r="D365" s="4"/>
      <c r="E365" s="16"/>
      <c r="F365" s="1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4.5">
      <c r="A366" s="4"/>
      <c r="B366" s="29"/>
      <c r="C366" s="35"/>
      <c r="D366" s="4"/>
      <c r="E366" s="16"/>
      <c r="F366" s="1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4.5">
      <c r="A367" s="4"/>
      <c r="B367" s="29"/>
      <c r="C367" s="35"/>
      <c r="D367" s="4"/>
      <c r="E367" s="16"/>
      <c r="F367" s="1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4.5">
      <c r="A368" s="4"/>
      <c r="B368" s="29"/>
      <c r="C368" s="35"/>
      <c r="D368" s="4"/>
      <c r="E368" s="16"/>
      <c r="F368" s="1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4.5">
      <c r="A369" s="4"/>
      <c r="B369" s="29"/>
      <c r="C369" s="35"/>
      <c r="D369" s="4"/>
      <c r="E369" s="16"/>
      <c r="F369" s="1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4.5">
      <c r="A370" s="4"/>
      <c r="B370" s="29"/>
      <c r="C370" s="35"/>
      <c r="D370" s="4"/>
      <c r="E370" s="16"/>
      <c r="F370" s="1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4.5">
      <c r="A371" s="4"/>
      <c r="B371" s="29"/>
      <c r="C371" s="35"/>
      <c r="D371" s="4"/>
      <c r="E371" s="16"/>
      <c r="F371" s="1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4.5">
      <c r="A372" s="4"/>
      <c r="B372" s="29"/>
      <c r="C372" s="35"/>
      <c r="D372" s="4"/>
      <c r="E372" s="16"/>
      <c r="F372" s="1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4.5">
      <c r="A373" s="4"/>
      <c r="B373" s="29"/>
      <c r="C373" s="35"/>
      <c r="D373" s="4"/>
      <c r="E373" s="16"/>
      <c r="F373" s="1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4.5">
      <c r="A374" s="4"/>
      <c r="B374" s="29"/>
      <c r="C374" s="35"/>
      <c r="D374" s="4"/>
      <c r="E374" s="16"/>
      <c r="F374" s="1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4.5">
      <c r="A375" s="4"/>
      <c r="B375" s="29"/>
      <c r="C375" s="35"/>
      <c r="D375" s="4"/>
      <c r="E375" s="16"/>
      <c r="F375" s="1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4.5">
      <c r="A376" s="4"/>
      <c r="B376" s="29"/>
      <c r="C376" s="35"/>
      <c r="D376" s="4"/>
      <c r="E376" s="16"/>
      <c r="F376" s="1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4.5">
      <c r="A377" s="4"/>
      <c r="B377" s="29"/>
      <c r="C377" s="35"/>
      <c r="D377" s="4"/>
      <c r="E377" s="16"/>
      <c r="F377" s="1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4.5">
      <c r="A378" s="4"/>
      <c r="B378" s="29"/>
      <c r="C378" s="35"/>
      <c r="D378" s="4"/>
      <c r="E378" s="16"/>
      <c r="F378" s="1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4.5">
      <c r="A379" s="4"/>
      <c r="B379" s="29"/>
      <c r="C379" s="35"/>
      <c r="D379" s="4"/>
      <c r="E379" s="16"/>
      <c r="F379" s="1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4.5">
      <c r="A380" s="4"/>
      <c r="B380" s="29"/>
      <c r="C380" s="35"/>
      <c r="D380" s="4"/>
      <c r="E380" s="16"/>
      <c r="F380" s="1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4.5">
      <c r="A381" s="4"/>
      <c r="B381" s="29"/>
      <c r="C381" s="35"/>
      <c r="D381" s="4"/>
      <c r="E381" s="16"/>
      <c r="F381" s="1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4.5">
      <c r="A382" s="4"/>
      <c r="B382" s="29"/>
      <c r="C382" s="35"/>
      <c r="D382" s="4"/>
      <c r="E382" s="16"/>
      <c r="F382" s="1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4.5">
      <c r="A383" s="4"/>
      <c r="B383" s="29"/>
      <c r="C383" s="35"/>
      <c r="D383" s="4"/>
      <c r="E383" s="16"/>
      <c r="F383" s="1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4.5">
      <c r="A384" s="4"/>
      <c r="B384" s="29"/>
      <c r="C384" s="35"/>
      <c r="D384" s="4"/>
      <c r="E384" s="16"/>
      <c r="F384" s="1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4.5">
      <c r="A385" s="4"/>
      <c r="B385" s="29"/>
      <c r="C385" s="35"/>
      <c r="D385" s="4"/>
      <c r="E385" s="16"/>
      <c r="F385" s="1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4.5">
      <c r="A386" s="4"/>
      <c r="B386" s="29"/>
      <c r="C386" s="35"/>
      <c r="D386" s="4"/>
      <c r="E386" s="16"/>
      <c r="F386" s="1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4.5">
      <c r="A387" s="4"/>
      <c r="B387" s="29"/>
      <c r="C387" s="35"/>
      <c r="D387" s="4"/>
      <c r="E387" s="16"/>
      <c r="F387" s="1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4.5">
      <c r="A388" s="4"/>
      <c r="B388" s="29"/>
      <c r="C388" s="35"/>
      <c r="D388" s="4"/>
      <c r="E388" s="16"/>
      <c r="F388" s="1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4.5">
      <c r="A389" s="4"/>
      <c r="B389" s="29"/>
      <c r="C389" s="35"/>
      <c r="D389" s="4"/>
      <c r="E389" s="16"/>
      <c r="F389" s="1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4.5">
      <c r="A390" s="4"/>
      <c r="B390" s="29"/>
      <c r="C390" s="35"/>
      <c r="D390" s="4"/>
      <c r="E390" s="16"/>
      <c r="F390" s="1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4.5">
      <c r="A391" s="4"/>
      <c r="B391" s="29"/>
      <c r="C391" s="35"/>
      <c r="D391" s="4"/>
      <c r="E391" s="16"/>
      <c r="F391" s="1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4.5">
      <c r="A392" s="4"/>
      <c r="B392" s="29"/>
      <c r="C392" s="35"/>
      <c r="D392" s="4"/>
      <c r="E392" s="16"/>
      <c r="F392" s="1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4.5">
      <c r="A393" s="4"/>
      <c r="B393" s="29"/>
      <c r="C393" s="35"/>
      <c r="D393" s="4"/>
      <c r="E393" s="16"/>
      <c r="F393" s="1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4.5">
      <c r="A394" s="4"/>
      <c r="B394" s="29"/>
      <c r="C394" s="35"/>
      <c r="D394" s="4"/>
      <c r="E394" s="16"/>
      <c r="F394" s="1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4.5">
      <c r="A395" s="4"/>
      <c r="B395" s="29"/>
      <c r="C395" s="35"/>
      <c r="D395" s="4"/>
      <c r="E395" s="16"/>
      <c r="F395" s="1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4.5">
      <c r="A396" s="4"/>
      <c r="B396" s="29"/>
      <c r="C396" s="35"/>
      <c r="D396" s="4"/>
      <c r="E396" s="16"/>
      <c r="F396" s="1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4.5">
      <c r="A397" s="4"/>
      <c r="B397" s="29"/>
      <c r="C397" s="35"/>
      <c r="D397" s="4"/>
      <c r="E397" s="16"/>
      <c r="F397" s="1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4.5">
      <c r="A398" s="4"/>
      <c r="B398" s="29"/>
      <c r="C398" s="35"/>
      <c r="D398" s="4"/>
      <c r="E398" s="16"/>
      <c r="F398" s="1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4.5">
      <c r="A399" s="4"/>
      <c r="B399" s="29"/>
      <c r="C399" s="35"/>
      <c r="D399" s="4"/>
      <c r="E399" s="16"/>
      <c r="F399" s="1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4.5">
      <c r="A400" s="4"/>
      <c r="B400" s="29"/>
      <c r="C400" s="35"/>
      <c r="D400" s="4"/>
      <c r="E400" s="16"/>
      <c r="F400" s="1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4.5">
      <c r="A401" s="4"/>
      <c r="B401" s="29"/>
      <c r="C401" s="35"/>
      <c r="D401" s="4"/>
      <c r="E401" s="16"/>
      <c r="F401" s="1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4.5">
      <c r="A402" s="4"/>
      <c r="B402" s="29"/>
      <c r="C402" s="35"/>
      <c r="D402" s="4"/>
      <c r="E402" s="16"/>
      <c r="F402" s="1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4.5">
      <c r="A403" s="4"/>
      <c r="B403" s="29"/>
      <c r="C403" s="35"/>
      <c r="D403" s="4"/>
      <c r="E403" s="16"/>
      <c r="F403" s="1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4.5">
      <c r="A404" s="4"/>
      <c r="B404" s="29"/>
      <c r="C404" s="35"/>
      <c r="D404" s="4"/>
      <c r="E404" s="16"/>
      <c r="F404" s="1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4.5">
      <c r="A405" s="4"/>
      <c r="B405" s="29"/>
      <c r="C405" s="35"/>
      <c r="D405" s="4"/>
      <c r="E405" s="16"/>
      <c r="F405" s="1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4.5">
      <c r="A406" s="4"/>
      <c r="B406" s="29"/>
      <c r="C406" s="35"/>
      <c r="D406" s="4"/>
      <c r="E406" s="16"/>
      <c r="F406" s="1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4.5">
      <c r="A407" s="4"/>
      <c r="B407" s="29"/>
      <c r="C407" s="35"/>
      <c r="D407" s="4"/>
      <c r="E407" s="16"/>
      <c r="F407" s="1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4.5">
      <c r="A408" s="4"/>
      <c r="B408" s="29"/>
      <c r="C408" s="35"/>
      <c r="D408" s="4"/>
      <c r="E408" s="16"/>
      <c r="F408" s="1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4.5">
      <c r="A409" s="4"/>
      <c r="B409" s="29"/>
      <c r="C409" s="35"/>
      <c r="D409" s="4"/>
      <c r="E409" s="16"/>
      <c r="F409" s="1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4.5">
      <c r="A410" s="4"/>
      <c r="B410" s="29"/>
      <c r="C410" s="35"/>
      <c r="D410" s="4"/>
      <c r="E410" s="16"/>
      <c r="F410" s="1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4.5">
      <c r="A411" s="4"/>
      <c r="B411" s="29"/>
      <c r="C411" s="35"/>
      <c r="D411" s="4"/>
      <c r="E411" s="16"/>
      <c r="F411" s="1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4.5">
      <c r="A412" s="4"/>
      <c r="B412" s="29"/>
      <c r="C412" s="35"/>
      <c r="D412" s="4"/>
      <c r="E412" s="16"/>
      <c r="F412" s="1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4.5">
      <c r="A413" s="4"/>
      <c r="B413" s="29"/>
      <c r="C413" s="35"/>
      <c r="D413" s="4"/>
      <c r="E413" s="16"/>
      <c r="F413" s="1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4.5">
      <c r="A414" s="4"/>
      <c r="B414" s="29"/>
      <c r="C414" s="35"/>
      <c r="D414" s="4"/>
      <c r="E414" s="16"/>
      <c r="F414" s="1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4.5">
      <c r="A415" s="4"/>
      <c r="B415" s="29"/>
      <c r="C415" s="35"/>
      <c r="D415" s="4"/>
      <c r="E415" s="16"/>
      <c r="F415" s="1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4.5">
      <c r="A416" s="4"/>
      <c r="B416" s="29"/>
      <c r="C416" s="35"/>
      <c r="D416" s="4"/>
      <c r="E416" s="16"/>
      <c r="F416" s="1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4.5">
      <c r="A417" s="4"/>
      <c r="B417" s="29"/>
      <c r="C417" s="35"/>
      <c r="D417" s="4"/>
      <c r="E417" s="16"/>
      <c r="F417" s="1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4.5">
      <c r="A418" s="4"/>
      <c r="B418" s="29"/>
      <c r="C418" s="35"/>
      <c r="D418" s="4"/>
      <c r="E418" s="16"/>
      <c r="F418" s="1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4.5">
      <c r="A419" s="4"/>
      <c r="B419" s="29"/>
      <c r="C419" s="35"/>
      <c r="D419" s="4"/>
      <c r="E419" s="16"/>
      <c r="F419" s="1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4.5">
      <c r="A420" s="4"/>
      <c r="B420" s="29"/>
      <c r="C420" s="35"/>
      <c r="D420" s="4"/>
      <c r="E420" s="16"/>
      <c r="F420" s="1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4.5">
      <c r="A421" s="4"/>
      <c r="B421" s="29"/>
      <c r="C421" s="35"/>
      <c r="D421" s="4"/>
      <c r="E421" s="16"/>
      <c r="F421" s="1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4.5">
      <c r="A422" s="4"/>
      <c r="B422" s="29"/>
      <c r="C422" s="35"/>
      <c r="D422" s="4"/>
      <c r="E422" s="16"/>
      <c r="F422" s="1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4.5">
      <c r="A423" s="4"/>
      <c r="B423" s="29"/>
      <c r="C423" s="35"/>
      <c r="D423" s="4"/>
      <c r="E423" s="16"/>
      <c r="F423" s="1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4.5">
      <c r="A424" s="4"/>
      <c r="B424" s="29"/>
      <c r="C424" s="35"/>
      <c r="D424" s="4"/>
      <c r="E424" s="16"/>
      <c r="F424" s="1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4.5">
      <c r="A425" s="4"/>
      <c r="B425" s="29"/>
      <c r="C425" s="35"/>
      <c r="D425" s="4"/>
      <c r="E425" s="16"/>
      <c r="F425" s="1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4.5">
      <c r="A426" s="4"/>
      <c r="B426" s="29"/>
      <c r="C426" s="35"/>
      <c r="D426" s="4"/>
      <c r="E426" s="16"/>
      <c r="F426" s="1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4.5">
      <c r="A427" s="4"/>
      <c r="B427" s="29"/>
      <c r="C427" s="35"/>
      <c r="D427" s="4"/>
      <c r="E427" s="16"/>
      <c r="F427" s="1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4.5">
      <c r="A428" s="4"/>
      <c r="B428" s="29"/>
      <c r="C428" s="35"/>
      <c r="D428" s="4"/>
      <c r="E428" s="16"/>
      <c r="F428" s="1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4.5">
      <c r="A429" s="4"/>
      <c r="B429" s="29"/>
      <c r="C429" s="35"/>
      <c r="D429" s="4"/>
      <c r="E429" s="16"/>
      <c r="F429" s="1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4.5">
      <c r="A430" s="4"/>
      <c r="B430" s="29"/>
      <c r="C430" s="35"/>
      <c r="D430" s="4"/>
      <c r="E430" s="16"/>
      <c r="F430" s="1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4.5">
      <c r="A431" s="4"/>
      <c r="B431" s="29"/>
      <c r="C431" s="35"/>
      <c r="D431" s="4"/>
      <c r="E431" s="16"/>
      <c r="F431" s="1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4.5">
      <c r="A432" s="4"/>
      <c r="B432" s="29"/>
      <c r="C432" s="35"/>
      <c r="D432" s="4"/>
      <c r="E432" s="16"/>
      <c r="F432" s="1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4.5">
      <c r="A433" s="4"/>
      <c r="B433" s="29"/>
      <c r="C433" s="35"/>
      <c r="D433" s="4"/>
      <c r="E433" s="16"/>
      <c r="F433" s="1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4.5">
      <c r="A434" s="4"/>
      <c r="B434" s="29"/>
      <c r="C434" s="35"/>
      <c r="D434" s="4"/>
      <c r="E434" s="16"/>
      <c r="F434" s="1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4.5">
      <c r="A435" s="4"/>
      <c r="B435" s="29"/>
      <c r="C435" s="35"/>
      <c r="D435" s="4"/>
      <c r="E435" s="16"/>
      <c r="F435" s="1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4.5">
      <c r="A436" s="4"/>
      <c r="B436" s="29"/>
      <c r="C436" s="35"/>
      <c r="D436" s="4"/>
      <c r="E436" s="16"/>
      <c r="F436" s="1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4.5">
      <c r="A437" s="4"/>
      <c r="B437" s="29"/>
      <c r="C437" s="35"/>
      <c r="D437" s="4"/>
      <c r="E437" s="16"/>
      <c r="F437" s="1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4.5">
      <c r="A438" s="4"/>
      <c r="B438" s="29"/>
      <c r="C438" s="35"/>
      <c r="D438" s="4"/>
      <c r="E438" s="16"/>
      <c r="F438" s="1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4.5">
      <c r="A439" s="4"/>
      <c r="B439" s="29"/>
      <c r="C439" s="35"/>
      <c r="D439" s="4"/>
      <c r="E439" s="16"/>
      <c r="F439" s="1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4.5">
      <c r="A440" s="4"/>
      <c r="B440" s="29"/>
      <c r="C440" s="35"/>
      <c r="D440" s="4"/>
      <c r="E440" s="16"/>
      <c r="F440" s="1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4.5">
      <c r="A441" s="4"/>
      <c r="B441" s="29"/>
      <c r="C441" s="35"/>
      <c r="D441" s="4"/>
      <c r="E441" s="16"/>
      <c r="F441" s="1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4.5">
      <c r="A442" s="4"/>
      <c r="B442" s="29"/>
      <c r="C442" s="35"/>
      <c r="D442" s="4"/>
      <c r="E442" s="16"/>
      <c r="F442" s="1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4.5">
      <c r="A443" s="4"/>
      <c r="B443" s="29"/>
      <c r="C443" s="35"/>
      <c r="D443" s="4"/>
      <c r="E443" s="16"/>
      <c r="F443" s="1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4.5">
      <c r="A444" s="4"/>
      <c r="B444" s="29"/>
      <c r="C444" s="35"/>
      <c r="D444" s="4"/>
      <c r="E444" s="16"/>
      <c r="F444" s="1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4.5">
      <c r="A445" s="4"/>
      <c r="B445" s="29"/>
      <c r="C445" s="35"/>
      <c r="D445" s="4"/>
      <c r="E445" s="16"/>
      <c r="F445" s="1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4.5">
      <c r="A446" s="4"/>
      <c r="B446" s="29"/>
      <c r="C446" s="35"/>
      <c r="D446" s="4"/>
      <c r="E446" s="16"/>
      <c r="F446" s="1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4.5">
      <c r="A447" s="4"/>
      <c r="B447" s="29"/>
      <c r="C447" s="35"/>
      <c r="D447" s="4"/>
      <c r="E447" s="16"/>
      <c r="F447" s="1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4.5">
      <c r="A448" s="4"/>
      <c r="B448" s="29"/>
      <c r="C448" s="35"/>
      <c r="D448" s="4"/>
      <c r="E448" s="16"/>
      <c r="F448" s="1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4.5">
      <c r="A449" s="4"/>
      <c r="B449" s="29"/>
      <c r="C449" s="35"/>
      <c r="D449" s="4"/>
      <c r="E449" s="16"/>
      <c r="F449" s="1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4.5">
      <c r="A450" s="4"/>
      <c r="B450" s="29"/>
      <c r="C450" s="35"/>
      <c r="D450" s="4"/>
      <c r="E450" s="16"/>
      <c r="F450" s="1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4.5">
      <c r="A451" s="4"/>
      <c r="B451" s="29"/>
      <c r="C451" s="35"/>
      <c r="D451" s="4"/>
      <c r="E451" s="16"/>
      <c r="F451" s="1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4.5">
      <c r="A452" s="4"/>
      <c r="B452" s="29"/>
      <c r="C452" s="35"/>
      <c r="D452" s="4"/>
      <c r="E452" s="16"/>
      <c r="F452" s="1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4.5">
      <c r="A453" s="4"/>
      <c r="B453" s="29"/>
      <c r="C453" s="35"/>
      <c r="D453" s="4"/>
      <c r="E453" s="16"/>
      <c r="F453" s="1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4.5">
      <c r="A454" s="4"/>
      <c r="B454" s="29"/>
      <c r="C454" s="35"/>
      <c r="D454" s="4"/>
      <c r="E454" s="16"/>
      <c r="F454" s="1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4.5">
      <c r="A455" s="4"/>
      <c r="B455" s="29"/>
      <c r="C455" s="35"/>
      <c r="D455" s="4"/>
      <c r="E455" s="16"/>
      <c r="F455" s="1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4.5">
      <c r="A456" s="4"/>
      <c r="B456" s="29"/>
      <c r="C456" s="35"/>
      <c r="D456" s="4"/>
      <c r="E456" s="16"/>
      <c r="F456" s="1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4.5">
      <c r="A457" s="4"/>
      <c r="B457" s="29"/>
      <c r="C457" s="35"/>
      <c r="D457" s="4"/>
      <c r="E457" s="16"/>
      <c r="F457" s="1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4.5">
      <c r="A458" s="4"/>
      <c r="B458" s="29"/>
      <c r="C458" s="35"/>
      <c r="D458" s="4"/>
      <c r="E458" s="16"/>
      <c r="F458" s="1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4.5">
      <c r="A459" s="4"/>
      <c r="B459" s="29"/>
      <c r="C459" s="35"/>
      <c r="D459" s="4"/>
      <c r="E459" s="16"/>
      <c r="F459" s="1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4.5">
      <c r="A460" s="4"/>
      <c r="B460" s="29"/>
      <c r="C460" s="35"/>
      <c r="D460" s="4"/>
      <c r="E460" s="16"/>
      <c r="F460" s="1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4.5">
      <c r="A461" s="4"/>
      <c r="B461" s="29"/>
      <c r="C461" s="35"/>
      <c r="D461" s="4"/>
      <c r="E461" s="16"/>
      <c r="F461" s="1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4.5">
      <c r="A462" s="4"/>
      <c r="B462" s="29"/>
      <c r="C462" s="35"/>
      <c r="D462" s="4"/>
      <c r="E462" s="16"/>
      <c r="F462" s="1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4.5">
      <c r="A463" s="4"/>
      <c r="B463" s="29"/>
      <c r="C463" s="35"/>
      <c r="D463" s="4"/>
      <c r="E463" s="16"/>
      <c r="F463" s="1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4.5">
      <c r="A464" s="4"/>
      <c r="B464" s="29"/>
      <c r="C464" s="35"/>
      <c r="D464" s="4"/>
      <c r="E464" s="16"/>
      <c r="F464" s="1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4.5">
      <c r="A465" s="4"/>
      <c r="B465" s="29"/>
      <c r="C465" s="35"/>
      <c r="D465" s="4"/>
      <c r="E465" s="16"/>
      <c r="F465" s="1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4.5">
      <c r="A466" s="4"/>
      <c r="B466" s="29"/>
      <c r="C466" s="35"/>
      <c r="D466" s="4"/>
      <c r="E466" s="16"/>
      <c r="F466" s="1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4.5">
      <c r="A467" s="4"/>
      <c r="B467" s="29"/>
      <c r="C467" s="35"/>
      <c r="D467" s="4"/>
      <c r="E467" s="16"/>
      <c r="F467" s="1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4.5">
      <c r="A468" s="4"/>
      <c r="B468" s="29"/>
      <c r="C468" s="35"/>
      <c r="D468" s="4"/>
      <c r="E468" s="16"/>
      <c r="F468" s="1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4.5">
      <c r="A469" s="4"/>
      <c r="B469" s="29"/>
      <c r="C469" s="35"/>
      <c r="D469" s="4"/>
      <c r="E469" s="16"/>
      <c r="F469" s="1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4.5">
      <c r="A470" s="4"/>
      <c r="B470" s="29"/>
      <c r="C470" s="35"/>
      <c r="D470" s="4"/>
      <c r="E470" s="16"/>
      <c r="F470" s="1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4.5">
      <c r="A471" s="4"/>
      <c r="B471" s="29"/>
      <c r="C471" s="35"/>
      <c r="D471" s="4"/>
      <c r="E471" s="16"/>
      <c r="F471" s="1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4.5">
      <c r="A472" s="4"/>
      <c r="B472" s="29"/>
      <c r="C472" s="35"/>
      <c r="D472" s="4"/>
      <c r="E472" s="16"/>
      <c r="F472" s="1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4.5">
      <c r="A473" s="4"/>
      <c r="B473" s="29"/>
      <c r="C473" s="35"/>
      <c r="D473" s="4"/>
      <c r="E473" s="16"/>
      <c r="F473" s="1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4.5">
      <c r="A474" s="4"/>
      <c r="B474" s="29"/>
      <c r="C474" s="35"/>
      <c r="D474" s="4"/>
      <c r="E474" s="16"/>
      <c r="F474" s="1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4.5">
      <c r="A475" s="4"/>
      <c r="B475" s="29"/>
      <c r="C475" s="35"/>
      <c r="D475" s="4"/>
      <c r="E475" s="16"/>
      <c r="F475" s="1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4.5">
      <c r="A476" s="4"/>
      <c r="B476" s="29"/>
      <c r="C476" s="35"/>
      <c r="D476" s="4"/>
      <c r="E476" s="16"/>
      <c r="F476" s="1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4.5">
      <c r="A477" s="4"/>
      <c r="B477" s="29"/>
      <c r="C477" s="35"/>
      <c r="D477" s="4"/>
      <c r="E477" s="16"/>
      <c r="F477" s="1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4.5">
      <c r="A478" s="4"/>
      <c r="B478" s="29"/>
      <c r="C478" s="35"/>
      <c r="D478" s="4"/>
      <c r="E478" s="16"/>
      <c r="F478" s="1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4.5">
      <c r="A479" s="4"/>
      <c r="B479" s="29"/>
      <c r="C479" s="35"/>
      <c r="D479" s="4"/>
      <c r="E479" s="16"/>
      <c r="F479" s="1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4.5">
      <c r="A480" s="4"/>
      <c r="B480" s="29"/>
      <c r="C480" s="35"/>
      <c r="D480" s="4"/>
      <c r="E480" s="16"/>
      <c r="F480" s="1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4.5">
      <c r="A481" s="4"/>
      <c r="B481" s="29"/>
      <c r="C481" s="35"/>
      <c r="D481" s="4"/>
      <c r="E481" s="16"/>
      <c r="F481" s="1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4.5">
      <c r="A482" s="4"/>
      <c r="B482" s="29"/>
      <c r="C482" s="35"/>
      <c r="D482" s="4"/>
      <c r="E482" s="16"/>
      <c r="F482" s="1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4.5">
      <c r="A483" s="4"/>
      <c r="B483" s="29"/>
      <c r="C483" s="35"/>
      <c r="D483" s="4"/>
      <c r="E483" s="16"/>
      <c r="F483" s="1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4.5">
      <c r="A484" s="4"/>
      <c r="B484" s="29"/>
      <c r="C484" s="35"/>
      <c r="D484" s="4"/>
      <c r="E484" s="16"/>
      <c r="F484" s="1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4.5">
      <c r="A485" s="4"/>
      <c r="B485" s="29"/>
      <c r="C485" s="35"/>
      <c r="D485" s="4"/>
      <c r="E485" s="16"/>
      <c r="F485" s="1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4.5">
      <c r="A486" s="4"/>
      <c r="B486" s="29"/>
      <c r="C486" s="35"/>
      <c r="D486" s="4"/>
      <c r="E486" s="16"/>
      <c r="F486" s="1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4.5">
      <c r="A487" s="4"/>
      <c r="B487" s="29"/>
      <c r="C487" s="35"/>
      <c r="D487" s="4"/>
      <c r="E487" s="16"/>
      <c r="F487" s="1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4.5">
      <c r="A488" s="4"/>
      <c r="B488" s="29"/>
      <c r="C488" s="35"/>
      <c r="D488" s="4"/>
      <c r="E488" s="16"/>
      <c r="F488" s="1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4.5">
      <c r="A489" s="4"/>
      <c r="B489" s="29"/>
      <c r="C489" s="35"/>
      <c r="D489" s="4"/>
      <c r="E489" s="16"/>
      <c r="F489" s="1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4.5">
      <c r="A490" s="4"/>
      <c r="B490" s="29"/>
      <c r="C490" s="35"/>
      <c r="D490" s="4"/>
      <c r="E490" s="16"/>
      <c r="F490" s="1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4.5">
      <c r="A491" s="4"/>
      <c r="B491" s="29"/>
      <c r="C491" s="35"/>
      <c r="D491" s="4"/>
      <c r="E491" s="16"/>
      <c r="F491" s="1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4.5">
      <c r="A492" s="4"/>
      <c r="B492" s="29"/>
      <c r="C492" s="35"/>
      <c r="D492" s="4"/>
      <c r="E492" s="16"/>
      <c r="F492" s="1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4.5">
      <c r="A493" s="4"/>
      <c r="B493" s="29"/>
      <c r="C493" s="35"/>
      <c r="D493" s="4"/>
      <c r="E493" s="16"/>
      <c r="F493" s="1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4.5">
      <c r="A494" s="4"/>
      <c r="B494" s="29"/>
      <c r="C494" s="35"/>
      <c r="D494" s="4"/>
      <c r="E494" s="16"/>
      <c r="F494" s="1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4.5">
      <c r="A495" s="4"/>
      <c r="B495" s="29"/>
      <c r="C495" s="35"/>
      <c r="D495" s="4"/>
      <c r="E495" s="16"/>
      <c r="F495" s="1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4.5">
      <c r="A496" s="4"/>
      <c r="B496" s="29"/>
      <c r="C496" s="35"/>
      <c r="D496" s="4"/>
      <c r="E496" s="16"/>
      <c r="F496" s="1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4.5">
      <c r="A497" s="4"/>
      <c r="B497" s="29"/>
      <c r="C497" s="35"/>
      <c r="D497" s="4"/>
      <c r="E497" s="16"/>
      <c r="F497" s="1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4.5">
      <c r="A498" s="4"/>
      <c r="B498" s="29"/>
      <c r="C498" s="35"/>
      <c r="D498" s="4"/>
      <c r="E498" s="16"/>
      <c r="F498" s="1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4.5">
      <c r="A499" s="4"/>
      <c r="B499" s="29"/>
      <c r="C499" s="35"/>
      <c r="D499" s="4"/>
      <c r="E499" s="16"/>
      <c r="F499" s="1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4.5">
      <c r="A500" s="4"/>
      <c r="B500" s="29"/>
      <c r="C500" s="35"/>
      <c r="D500" s="4"/>
      <c r="E500" s="16"/>
      <c r="F500" s="1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4.5">
      <c r="A501" s="4"/>
      <c r="B501" s="29"/>
      <c r="C501" s="35"/>
      <c r="D501" s="4"/>
      <c r="E501" s="16"/>
      <c r="F501" s="1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4.5">
      <c r="A502" s="4"/>
      <c r="B502" s="29"/>
      <c r="C502" s="35"/>
      <c r="D502" s="4"/>
      <c r="E502" s="16"/>
      <c r="F502" s="1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4.5">
      <c r="A503" s="4"/>
      <c r="B503" s="29"/>
      <c r="C503" s="35"/>
      <c r="D503" s="4"/>
      <c r="E503" s="16"/>
      <c r="F503" s="1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4.5">
      <c r="A504" s="4"/>
      <c r="B504" s="29"/>
      <c r="C504" s="35"/>
      <c r="D504" s="4"/>
      <c r="E504" s="16"/>
      <c r="F504" s="1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4.5">
      <c r="A505" s="4"/>
      <c r="B505" s="29"/>
      <c r="C505" s="35"/>
      <c r="D505" s="4"/>
      <c r="E505" s="16"/>
      <c r="F505" s="1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4.5">
      <c r="A506" s="4"/>
      <c r="B506" s="29"/>
      <c r="C506" s="35"/>
      <c r="D506" s="4"/>
      <c r="E506" s="16"/>
      <c r="F506" s="1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4.5">
      <c r="A507" s="4"/>
      <c r="B507" s="29"/>
      <c r="C507" s="35"/>
      <c r="D507" s="4"/>
      <c r="E507" s="16"/>
      <c r="F507" s="1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4.5">
      <c r="A508" s="4"/>
      <c r="B508" s="29"/>
      <c r="C508" s="35"/>
      <c r="D508" s="4"/>
      <c r="E508" s="16"/>
      <c r="F508" s="1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4.5">
      <c r="A509" s="4"/>
      <c r="B509" s="29"/>
      <c r="C509" s="35"/>
      <c r="D509" s="4"/>
      <c r="E509" s="16"/>
      <c r="F509" s="1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4.5">
      <c r="A510" s="4"/>
      <c r="B510" s="29"/>
      <c r="C510" s="35"/>
      <c r="D510" s="4"/>
      <c r="E510" s="16"/>
      <c r="F510" s="1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4.5">
      <c r="A511" s="4"/>
      <c r="B511" s="29"/>
      <c r="C511" s="35"/>
      <c r="D511" s="4"/>
      <c r="E511" s="16"/>
      <c r="F511" s="1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4.5">
      <c r="A512" s="4"/>
      <c r="B512" s="29"/>
      <c r="C512" s="35"/>
      <c r="D512" s="4"/>
      <c r="E512" s="16"/>
      <c r="F512" s="1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4.5">
      <c r="A513" s="4"/>
      <c r="B513" s="29"/>
      <c r="C513" s="35"/>
      <c r="D513" s="4"/>
      <c r="E513" s="16"/>
      <c r="F513" s="1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4.5">
      <c r="A514" s="4"/>
      <c r="B514" s="29"/>
      <c r="C514" s="35"/>
      <c r="D514" s="4"/>
      <c r="E514" s="16"/>
      <c r="F514" s="1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4.5">
      <c r="A515" s="4"/>
      <c r="B515" s="29"/>
      <c r="C515" s="35"/>
      <c r="D515" s="4"/>
      <c r="E515" s="16"/>
      <c r="F515" s="1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4.5">
      <c r="A516" s="4"/>
      <c r="B516" s="29"/>
      <c r="C516" s="35"/>
      <c r="D516" s="4"/>
      <c r="E516" s="16"/>
      <c r="F516" s="1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4.5">
      <c r="A517" s="4"/>
      <c r="B517" s="29"/>
      <c r="C517" s="35"/>
      <c r="D517" s="4"/>
      <c r="E517" s="16"/>
      <c r="F517" s="1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4.5">
      <c r="A518" s="4"/>
      <c r="B518" s="29"/>
      <c r="C518" s="35"/>
      <c r="D518" s="4"/>
      <c r="E518" s="16"/>
      <c r="F518" s="1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4.5">
      <c r="A519" s="4"/>
      <c r="B519" s="29"/>
      <c r="C519" s="35"/>
      <c r="D519" s="4"/>
      <c r="E519" s="16"/>
      <c r="F519" s="1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4.5">
      <c r="A520" s="4"/>
      <c r="B520" s="29"/>
      <c r="C520" s="35"/>
      <c r="D520" s="4"/>
      <c r="E520" s="16"/>
      <c r="F520" s="1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4.5">
      <c r="A521" s="4"/>
      <c r="B521" s="29"/>
      <c r="C521" s="35"/>
      <c r="D521" s="4"/>
      <c r="E521" s="16"/>
      <c r="F521" s="1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4.5">
      <c r="A522" s="4"/>
      <c r="B522" s="29"/>
      <c r="C522" s="35"/>
      <c r="D522" s="4"/>
      <c r="E522" s="16"/>
      <c r="F522" s="1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4.5">
      <c r="A523" s="4"/>
      <c r="B523" s="29"/>
      <c r="C523" s="35"/>
      <c r="D523" s="4"/>
      <c r="E523" s="16"/>
      <c r="F523" s="1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4.5">
      <c r="A524" s="4"/>
      <c r="B524" s="29"/>
      <c r="C524" s="35"/>
      <c r="D524" s="4"/>
      <c r="E524" s="16"/>
      <c r="F524" s="1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4.5">
      <c r="A525" s="4"/>
      <c r="B525" s="29"/>
      <c r="C525" s="35"/>
      <c r="D525" s="4"/>
      <c r="E525" s="16"/>
      <c r="F525" s="1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4.5">
      <c r="A526" s="4"/>
      <c r="B526" s="29"/>
      <c r="C526" s="35"/>
      <c r="D526" s="4"/>
      <c r="E526" s="16"/>
      <c r="F526" s="1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4.5">
      <c r="A527" s="4"/>
      <c r="B527" s="29"/>
      <c r="C527" s="35"/>
      <c r="D527" s="4"/>
      <c r="E527" s="16"/>
      <c r="F527" s="1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4.5">
      <c r="A528" s="4"/>
      <c r="B528" s="29"/>
      <c r="C528" s="35"/>
      <c r="D528" s="4"/>
      <c r="E528" s="16"/>
      <c r="F528" s="1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4.5">
      <c r="A529" s="4"/>
      <c r="B529" s="29"/>
      <c r="C529" s="35"/>
      <c r="D529" s="4"/>
      <c r="E529" s="16"/>
      <c r="F529" s="1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4.5">
      <c r="A530" s="4"/>
      <c r="B530" s="29"/>
      <c r="C530" s="35"/>
      <c r="D530" s="4"/>
      <c r="E530" s="16"/>
      <c r="F530" s="1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4.5">
      <c r="A531" s="4"/>
      <c r="B531" s="29"/>
      <c r="C531" s="35"/>
      <c r="D531" s="4"/>
      <c r="E531" s="16"/>
      <c r="F531" s="1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4.5">
      <c r="A532" s="4"/>
      <c r="B532" s="29"/>
      <c r="C532" s="35"/>
      <c r="D532" s="4"/>
      <c r="E532" s="16"/>
      <c r="F532" s="1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4.5">
      <c r="A533" s="4"/>
      <c r="B533" s="29"/>
      <c r="C533" s="35"/>
      <c r="D533" s="4"/>
      <c r="E533" s="16"/>
      <c r="F533" s="1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4.5">
      <c r="A534" s="4"/>
      <c r="B534" s="29"/>
      <c r="C534" s="35"/>
      <c r="D534" s="4"/>
      <c r="E534" s="16"/>
      <c r="F534" s="1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4.5">
      <c r="A535" s="4"/>
      <c r="B535" s="29"/>
      <c r="C535" s="35"/>
      <c r="D535" s="4"/>
      <c r="E535" s="16"/>
      <c r="F535" s="1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4.5">
      <c r="A536" s="4"/>
      <c r="B536" s="29"/>
      <c r="C536" s="35"/>
      <c r="D536" s="4"/>
      <c r="E536" s="16"/>
      <c r="F536" s="1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4.5">
      <c r="A537" s="4"/>
      <c r="B537" s="29"/>
      <c r="C537" s="35"/>
      <c r="D537" s="4"/>
      <c r="E537" s="16"/>
      <c r="F537" s="1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4.5">
      <c r="A538" s="4"/>
      <c r="B538" s="29"/>
      <c r="C538" s="35"/>
      <c r="D538" s="4"/>
      <c r="E538" s="16"/>
      <c r="F538" s="1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4.5">
      <c r="A539" s="4"/>
      <c r="B539" s="29"/>
      <c r="C539" s="35"/>
      <c r="D539" s="4"/>
      <c r="E539" s="16"/>
      <c r="F539" s="1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4.5">
      <c r="A540" s="4"/>
      <c r="B540" s="29"/>
      <c r="C540" s="35"/>
      <c r="D540" s="4"/>
      <c r="E540" s="16"/>
      <c r="F540" s="1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4.5">
      <c r="A541" s="4"/>
      <c r="B541" s="29"/>
      <c r="C541" s="35"/>
      <c r="D541" s="4"/>
      <c r="E541" s="16"/>
      <c r="F541" s="1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4.5">
      <c r="A542" s="4"/>
      <c r="B542" s="29"/>
      <c r="C542" s="35"/>
      <c r="D542" s="4"/>
      <c r="E542" s="16"/>
      <c r="F542" s="1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4.5">
      <c r="A543" s="4"/>
      <c r="B543" s="29"/>
      <c r="C543" s="35"/>
      <c r="D543" s="4"/>
      <c r="E543" s="16"/>
      <c r="F543" s="1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4.5">
      <c r="A544" s="4"/>
      <c r="B544" s="29"/>
      <c r="C544" s="35"/>
      <c r="D544" s="4"/>
      <c r="E544" s="16"/>
      <c r="F544" s="1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4.5">
      <c r="A545" s="4"/>
      <c r="B545" s="29"/>
      <c r="C545" s="35"/>
      <c r="D545" s="4"/>
      <c r="E545" s="16"/>
      <c r="F545" s="1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4.5">
      <c r="A546" s="4"/>
      <c r="B546" s="29"/>
      <c r="C546" s="35"/>
      <c r="D546" s="4"/>
      <c r="E546" s="16"/>
      <c r="F546" s="1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4.5">
      <c r="A547" s="4"/>
      <c r="B547" s="29"/>
      <c r="C547" s="35"/>
      <c r="D547" s="4"/>
      <c r="E547" s="16"/>
      <c r="F547" s="1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4.5">
      <c r="A548" s="4"/>
      <c r="B548" s="29"/>
      <c r="C548" s="35"/>
      <c r="D548" s="4"/>
      <c r="E548" s="16"/>
      <c r="F548" s="1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4.5">
      <c r="A549" s="4"/>
      <c r="B549" s="29"/>
      <c r="C549" s="35"/>
      <c r="D549" s="4"/>
      <c r="E549" s="16"/>
      <c r="F549" s="1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4.5">
      <c r="A550" s="4"/>
      <c r="B550" s="29"/>
      <c r="C550" s="35"/>
      <c r="D550" s="4"/>
      <c r="E550" s="16"/>
      <c r="F550" s="1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4.5">
      <c r="A551" s="4"/>
      <c r="B551" s="29"/>
      <c r="C551" s="35"/>
      <c r="D551" s="4"/>
      <c r="E551" s="16"/>
      <c r="F551" s="1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4.5">
      <c r="A552" s="4"/>
      <c r="B552" s="29"/>
      <c r="C552" s="35"/>
      <c r="D552" s="4"/>
      <c r="E552" s="16"/>
      <c r="F552" s="1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4.5">
      <c r="A553" s="4"/>
      <c r="B553" s="29"/>
      <c r="C553" s="35"/>
      <c r="D553" s="4"/>
      <c r="E553" s="16"/>
      <c r="F553" s="1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4.5">
      <c r="A554" s="4"/>
      <c r="B554" s="29"/>
      <c r="C554" s="35"/>
      <c r="D554" s="4"/>
      <c r="E554" s="16"/>
      <c r="F554" s="1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4.5">
      <c r="A555" s="4"/>
      <c r="B555" s="29"/>
      <c r="C555" s="35"/>
      <c r="D555" s="4"/>
      <c r="E555" s="16"/>
      <c r="F555" s="1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4.5">
      <c r="A556" s="4"/>
      <c r="B556" s="29"/>
      <c r="C556" s="35"/>
      <c r="D556" s="4"/>
      <c r="E556" s="16"/>
      <c r="F556" s="1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4.5">
      <c r="A557" s="4"/>
      <c r="B557" s="29"/>
      <c r="C557" s="35"/>
      <c r="D557" s="4"/>
      <c r="E557" s="16"/>
      <c r="F557" s="1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4.5">
      <c r="A558" s="4"/>
      <c r="B558" s="29"/>
      <c r="C558" s="35"/>
      <c r="D558" s="4"/>
      <c r="E558" s="16"/>
      <c r="F558" s="1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4.5">
      <c r="A559" s="4"/>
      <c r="B559" s="29"/>
      <c r="C559" s="35"/>
      <c r="D559" s="4"/>
      <c r="E559" s="16"/>
      <c r="F559" s="1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4.5">
      <c r="A560" s="4"/>
      <c r="B560" s="29"/>
      <c r="C560" s="35"/>
      <c r="D560" s="4"/>
      <c r="E560" s="16"/>
      <c r="F560" s="1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4.5">
      <c r="A561" s="4"/>
      <c r="B561" s="29"/>
      <c r="C561" s="35"/>
      <c r="D561" s="4"/>
      <c r="E561" s="16"/>
      <c r="F561" s="1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4.5">
      <c r="A562" s="4"/>
      <c r="B562" s="29"/>
      <c r="C562" s="35"/>
      <c r="D562" s="4"/>
      <c r="E562" s="16"/>
      <c r="F562" s="1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4.5">
      <c r="A563" s="4"/>
      <c r="B563" s="29"/>
      <c r="C563" s="35"/>
      <c r="D563" s="4"/>
      <c r="E563" s="16"/>
      <c r="F563" s="1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4.5">
      <c r="A564" s="4"/>
      <c r="B564" s="29"/>
      <c r="C564" s="35"/>
      <c r="D564" s="4"/>
      <c r="E564" s="16"/>
      <c r="F564" s="1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4.5">
      <c r="A565" s="4"/>
      <c r="B565" s="29"/>
      <c r="C565" s="35"/>
      <c r="D565" s="4"/>
      <c r="E565" s="16"/>
      <c r="F565" s="1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4.5">
      <c r="A566" s="4"/>
      <c r="B566" s="29"/>
      <c r="C566" s="35"/>
      <c r="D566" s="4"/>
      <c r="E566" s="16"/>
      <c r="F566" s="1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4.5">
      <c r="A567" s="4"/>
      <c r="B567" s="29"/>
      <c r="C567" s="35"/>
      <c r="D567" s="4"/>
      <c r="E567" s="16"/>
      <c r="F567" s="1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4.5">
      <c r="A568" s="4"/>
      <c r="B568" s="29"/>
      <c r="C568" s="35"/>
      <c r="D568" s="4"/>
      <c r="E568" s="16"/>
      <c r="F568" s="1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4.5">
      <c r="A569" s="4"/>
      <c r="B569" s="29"/>
      <c r="C569" s="35"/>
      <c r="D569" s="4"/>
      <c r="E569" s="16"/>
      <c r="F569" s="1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4.5">
      <c r="A570" s="4"/>
      <c r="B570" s="29"/>
      <c r="C570" s="35"/>
      <c r="D570" s="4"/>
      <c r="E570" s="16"/>
      <c r="F570" s="1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4.5">
      <c r="A571" s="4"/>
      <c r="B571" s="29"/>
      <c r="C571" s="35"/>
      <c r="D571" s="4"/>
      <c r="E571" s="16"/>
      <c r="F571" s="1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4.5">
      <c r="A572" s="4"/>
      <c r="B572" s="29"/>
      <c r="C572" s="35"/>
      <c r="D572" s="4"/>
      <c r="E572" s="16"/>
      <c r="F572" s="1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4.5">
      <c r="A573" s="4"/>
      <c r="B573" s="29"/>
      <c r="C573" s="35"/>
      <c r="D573" s="4"/>
      <c r="E573" s="16"/>
      <c r="F573" s="1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4.5">
      <c r="A574" s="4"/>
      <c r="B574" s="29"/>
      <c r="C574" s="35"/>
      <c r="D574" s="4"/>
      <c r="E574" s="16"/>
      <c r="F574" s="1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4.5">
      <c r="A575" s="4"/>
      <c r="B575" s="29"/>
      <c r="C575" s="35"/>
      <c r="D575" s="4"/>
      <c r="E575" s="16"/>
      <c r="F575" s="1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4.5">
      <c r="A576" s="4"/>
      <c r="B576" s="29"/>
      <c r="C576" s="35"/>
      <c r="D576" s="4"/>
      <c r="E576" s="16"/>
      <c r="F576" s="1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4.5">
      <c r="A577" s="4"/>
      <c r="B577" s="29"/>
      <c r="C577" s="35"/>
      <c r="D577" s="4"/>
      <c r="E577" s="16"/>
      <c r="F577" s="1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4.5">
      <c r="A578" s="4"/>
      <c r="B578" s="29"/>
      <c r="C578" s="35"/>
      <c r="D578" s="4"/>
      <c r="E578" s="16"/>
      <c r="F578" s="1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4.5">
      <c r="A579" s="4"/>
      <c r="B579" s="29"/>
      <c r="C579" s="35"/>
      <c r="D579" s="4"/>
      <c r="E579" s="16"/>
      <c r="F579" s="1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4.5">
      <c r="A580" s="4"/>
      <c r="B580" s="29"/>
      <c r="C580" s="35"/>
      <c r="D580" s="4"/>
      <c r="E580" s="16"/>
      <c r="F580" s="1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4.5">
      <c r="A581" s="4"/>
      <c r="B581" s="29"/>
      <c r="C581" s="35"/>
      <c r="D581" s="4"/>
      <c r="E581" s="16"/>
      <c r="F581" s="1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4.5">
      <c r="A582" s="4"/>
      <c r="B582" s="29"/>
      <c r="C582" s="35"/>
      <c r="D582" s="4"/>
      <c r="E582" s="16"/>
      <c r="F582" s="1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4.5">
      <c r="A583" s="4"/>
      <c r="B583" s="29"/>
      <c r="C583" s="35"/>
      <c r="D583" s="4"/>
      <c r="E583" s="16"/>
      <c r="F583" s="1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4.5">
      <c r="A584" s="4"/>
      <c r="B584" s="29"/>
      <c r="C584" s="35"/>
      <c r="D584" s="4"/>
      <c r="E584" s="16"/>
      <c r="F584" s="1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4.5">
      <c r="A585" s="4"/>
      <c r="B585" s="29"/>
      <c r="C585" s="35"/>
      <c r="D585" s="4"/>
      <c r="E585" s="16"/>
      <c r="F585" s="1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4.5">
      <c r="A586" s="4"/>
      <c r="B586" s="29"/>
      <c r="C586" s="35"/>
      <c r="D586" s="4"/>
      <c r="E586" s="16"/>
      <c r="F586" s="1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4.5">
      <c r="A587" s="4"/>
      <c r="B587" s="29"/>
      <c r="C587" s="35"/>
      <c r="D587" s="4"/>
      <c r="E587" s="16"/>
      <c r="F587" s="1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4.5">
      <c r="A588" s="4"/>
      <c r="B588" s="29"/>
      <c r="C588" s="35"/>
      <c r="D588" s="4"/>
      <c r="E588" s="16"/>
      <c r="F588" s="1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4.5">
      <c r="A589" s="4"/>
      <c r="B589" s="29"/>
      <c r="C589" s="35"/>
      <c r="D589" s="4"/>
      <c r="E589" s="16"/>
      <c r="F589" s="1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4.5">
      <c r="A590" s="4"/>
      <c r="B590" s="29"/>
      <c r="C590" s="35"/>
      <c r="D590" s="4"/>
      <c r="E590" s="16"/>
      <c r="F590" s="1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4.5">
      <c r="A591" s="4"/>
      <c r="B591" s="29"/>
      <c r="C591" s="35"/>
      <c r="D591" s="4"/>
      <c r="E591" s="16"/>
      <c r="F591" s="1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4.5">
      <c r="A592" s="4"/>
      <c r="B592" s="29"/>
      <c r="C592" s="35"/>
      <c r="D592" s="4"/>
      <c r="E592" s="16"/>
      <c r="F592" s="1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4.5">
      <c r="A593" s="4"/>
      <c r="B593" s="29"/>
      <c r="C593" s="35"/>
      <c r="D593" s="4"/>
      <c r="E593" s="16"/>
      <c r="F593" s="1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4.5">
      <c r="A594" s="4"/>
      <c r="B594" s="29"/>
      <c r="C594" s="35"/>
      <c r="D594" s="4"/>
      <c r="E594" s="16"/>
      <c r="F594" s="1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4.5">
      <c r="A595" s="4"/>
      <c r="B595" s="29"/>
      <c r="C595" s="35"/>
      <c r="D595" s="4"/>
      <c r="E595" s="16"/>
      <c r="F595" s="1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4.5">
      <c r="A596" s="4"/>
      <c r="B596" s="29"/>
      <c r="C596" s="35"/>
      <c r="D596" s="4"/>
      <c r="E596" s="16"/>
      <c r="F596" s="1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4.5">
      <c r="A597" s="4"/>
      <c r="B597" s="29"/>
      <c r="C597" s="35"/>
      <c r="D597" s="4"/>
      <c r="E597" s="16"/>
      <c r="F597" s="1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4.5">
      <c r="A598" s="4"/>
      <c r="B598" s="29"/>
      <c r="C598" s="35"/>
      <c r="D598" s="4"/>
      <c r="E598" s="16"/>
      <c r="F598" s="1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4.5">
      <c r="A599" s="4"/>
      <c r="B599" s="29"/>
      <c r="C599" s="35"/>
      <c r="D599" s="4"/>
      <c r="E599" s="16"/>
      <c r="F599" s="1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4.5">
      <c r="A600" s="4"/>
      <c r="B600" s="29"/>
      <c r="C600" s="35"/>
      <c r="D600" s="4"/>
      <c r="E600" s="16"/>
      <c r="F600" s="1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4.5">
      <c r="A601" s="4"/>
      <c r="B601" s="29"/>
      <c r="C601" s="35"/>
      <c r="D601" s="4"/>
      <c r="E601" s="16"/>
      <c r="F601" s="1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4.5">
      <c r="A602" s="4"/>
      <c r="B602" s="29"/>
      <c r="C602" s="35"/>
      <c r="D602" s="4"/>
      <c r="E602" s="16"/>
      <c r="F602" s="1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4.5">
      <c r="A603" s="4"/>
      <c r="B603" s="29"/>
      <c r="C603" s="35"/>
      <c r="D603" s="4"/>
      <c r="E603" s="16"/>
      <c r="F603" s="1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4.5">
      <c r="A604" s="4"/>
      <c r="B604" s="29"/>
      <c r="C604" s="35"/>
      <c r="D604" s="4"/>
      <c r="E604" s="16"/>
      <c r="F604" s="1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4.5">
      <c r="A605" s="4"/>
      <c r="B605" s="29"/>
      <c r="C605" s="35"/>
      <c r="D605" s="4"/>
      <c r="E605" s="16"/>
      <c r="F605" s="1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4.5">
      <c r="A606" s="4"/>
      <c r="B606" s="29"/>
      <c r="C606" s="35"/>
      <c r="D606" s="4"/>
      <c r="E606" s="16"/>
      <c r="F606" s="1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4.5">
      <c r="A607" s="4"/>
      <c r="B607" s="29"/>
      <c r="C607" s="35"/>
      <c r="D607" s="4"/>
      <c r="E607" s="16"/>
      <c r="F607" s="1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4.5">
      <c r="A608" s="4"/>
      <c r="B608" s="29"/>
      <c r="C608" s="35"/>
      <c r="D608" s="4"/>
      <c r="E608" s="16"/>
      <c r="F608" s="1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4.5">
      <c r="A609" s="4"/>
      <c r="B609" s="29"/>
      <c r="C609" s="35"/>
      <c r="D609" s="4"/>
      <c r="E609" s="16"/>
      <c r="F609" s="1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4.5">
      <c r="A610" s="4"/>
      <c r="B610" s="29"/>
      <c r="C610" s="35"/>
      <c r="D610" s="4"/>
      <c r="E610" s="16"/>
      <c r="F610" s="1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4.5">
      <c r="A611" s="4"/>
      <c r="B611" s="29"/>
      <c r="C611" s="35"/>
      <c r="D611" s="4"/>
      <c r="E611" s="16"/>
      <c r="F611" s="1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4.5">
      <c r="A612" s="4"/>
      <c r="B612" s="29"/>
      <c r="C612" s="35"/>
      <c r="D612" s="4"/>
      <c r="E612" s="16"/>
      <c r="F612" s="1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4.5">
      <c r="A613" s="4"/>
      <c r="B613" s="29"/>
      <c r="C613" s="35"/>
      <c r="D613" s="4"/>
      <c r="E613" s="16"/>
      <c r="F613" s="1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4.5">
      <c r="A614" s="4"/>
      <c r="B614" s="29"/>
      <c r="C614" s="35"/>
      <c r="D614" s="4"/>
      <c r="E614" s="16"/>
      <c r="F614" s="1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4.5">
      <c r="A615" s="4"/>
      <c r="B615" s="29"/>
      <c r="C615" s="35"/>
      <c r="D615" s="4"/>
      <c r="E615" s="16"/>
      <c r="F615" s="1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4.5">
      <c r="A616" s="4"/>
      <c r="B616" s="29"/>
      <c r="C616" s="35"/>
      <c r="D616" s="4"/>
      <c r="E616" s="16"/>
      <c r="F616" s="1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4.5">
      <c r="A617" s="4"/>
      <c r="B617" s="29"/>
      <c r="C617" s="35"/>
      <c r="D617" s="4"/>
      <c r="E617" s="16"/>
      <c r="F617" s="1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4.5">
      <c r="A618" s="4"/>
      <c r="B618" s="29"/>
      <c r="C618" s="35"/>
      <c r="D618" s="4"/>
      <c r="E618" s="16"/>
      <c r="F618" s="1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4.5">
      <c r="A619" s="4"/>
      <c r="B619" s="29"/>
      <c r="C619" s="35"/>
      <c r="D619" s="4"/>
      <c r="E619" s="16"/>
      <c r="F619" s="1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4.5">
      <c r="A620" s="4"/>
      <c r="B620" s="29"/>
      <c r="C620" s="35"/>
      <c r="D620" s="4"/>
      <c r="E620" s="16"/>
      <c r="F620" s="1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4.5">
      <c r="A621" s="4"/>
      <c r="B621" s="29"/>
      <c r="C621" s="35"/>
      <c r="D621" s="4"/>
      <c r="E621" s="16"/>
      <c r="F621" s="1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4.5">
      <c r="A622" s="4"/>
      <c r="B622" s="29"/>
      <c r="C622" s="35"/>
      <c r="D622" s="4"/>
      <c r="E622" s="16"/>
      <c r="F622" s="1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4.5">
      <c r="A623" s="4"/>
      <c r="B623" s="29"/>
      <c r="C623" s="35"/>
      <c r="D623" s="4"/>
      <c r="E623" s="16"/>
      <c r="F623" s="1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4.5">
      <c r="A624" s="4"/>
      <c r="B624" s="29"/>
      <c r="C624" s="35"/>
      <c r="D624" s="4"/>
      <c r="E624" s="16"/>
      <c r="F624" s="1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4.5">
      <c r="A625" s="4"/>
      <c r="B625" s="29"/>
      <c r="C625" s="35"/>
      <c r="D625" s="4"/>
      <c r="E625" s="16"/>
      <c r="F625" s="1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4.5">
      <c r="A626" s="4"/>
      <c r="B626" s="29"/>
      <c r="C626" s="35"/>
      <c r="D626" s="4"/>
      <c r="E626" s="16"/>
      <c r="F626" s="1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4.5">
      <c r="A627" s="4"/>
      <c r="B627" s="29"/>
      <c r="C627" s="35"/>
      <c r="D627" s="4"/>
      <c r="E627" s="16"/>
      <c r="F627" s="1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4.5">
      <c r="A628" s="4"/>
      <c r="B628" s="29"/>
      <c r="C628" s="35"/>
      <c r="D628" s="4"/>
      <c r="E628" s="16"/>
      <c r="F628" s="1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4.5">
      <c r="A629" s="4"/>
      <c r="B629" s="29"/>
      <c r="C629" s="35"/>
      <c r="D629" s="4"/>
      <c r="E629" s="16"/>
      <c r="F629" s="1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4.5">
      <c r="A630" s="4"/>
      <c r="B630" s="29"/>
      <c r="C630" s="35"/>
      <c r="D630" s="4"/>
      <c r="E630" s="16"/>
      <c r="F630" s="1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4.5">
      <c r="A631" s="4"/>
      <c r="B631" s="29"/>
      <c r="C631" s="35"/>
      <c r="D631" s="4"/>
      <c r="E631" s="16"/>
      <c r="F631" s="1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4.5">
      <c r="A632" s="4"/>
      <c r="B632" s="29"/>
      <c r="C632" s="35"/>
      <c r="D632" s="4"/>
      <c r="E632" s="16"/>
      <c r="F632" s="1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4.5">
      <c r="A633" s="4"/>
      <c r="B633" s="29"/>
      <c r="C633" s="35"/>
      <c r="D633" s="4"/>
      <c r="E633" s="16"/>
      <c r="F633" s="1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4.5">
      <c r="A634" s="4"/>
      <c r="B634" s="29"/>
      <c r="C634" s="35"/>
      <c r="D634" s="4"/>
      <c r="E634" s="16"/>
      <c r="F634" s="1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4.5">
      <c r="A635" s="4"/>
      <c r="B635" s="29"/>
      <c r="C635" s="35"/>
      <c r="D635" s="4"/>
      <c r="E635" s="16"/>
      <c r="F635" s="1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4.5">
      <c r="A636" s="4"/>
      <c r="B636" s="29"/>
      <c r="C636" s="35"/>
      <c r="D636" s="4"/>
      <c r="E636" s="16"/>
      <c r="F636" s="1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4.5">
      <c r="A637" s="4"/>
      <c r="B637" s="29"/>
      <c r="C637" s="35"/>
      <c r="D637" s="4"/>
      <c r="E637" s="16"/>
      <c r="F637" s="1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4.5">
      <c r="A638" s="4"/>
      <c r="B638" s="29"/>
      <c r="C638" s="35"/>
      <c r="D638" s="4"/>
      <c r="E638" s="16"/>
      <c r="F638" s="1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4.5">
      <c r="A639" s="4"/>
      <c r="B639" s="29"/>
      <c r="C639" s="35"/>
      <c r="D639" s="4"/>
      <c r="E639" s="16"/>
      <c r="F639" s="1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4.5">
      <c r="A640" s="4"/>
      <c r="B640" s="29"/>
      <c r="C640" s="35"/>
      <c r="D640" s="4"/>
      <c r="E640" s="16"/>
      <c r="F640" s="1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4.5">
      <c r="A641" s="4"/>
      <c r="B641" s="29"/>
      <c r="C641" s="35"/>
      <c r="D641" s="4"/>
      <c r="E641" s="16"/>
      <c r="F641" s="1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4.5">
      <c r="A642" s="4"/>
      <c r="B642" s="29"/>
      <c r="C642" s="35"/>
      <c r="D642" s="4"/>
      <c r="E642" s="16"/>
      <c r="F642" s="1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4.5">
      <c r="A643" s="4"/>
      <c r="B643" s="29"/>
      <c r="C643" s="35"/>
      <c r="D643" s="4"/>
      <c r="E643" s="16"/>
      <c r="F643" s="1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4.5">
      <c r="A644" s="4"/>
      <c r="B644" s="29"/>
      <c r="C644" s="35"/>
      <c r="D644" s="4"/>
      <c r="E644" s="16"/>
      <c r="F644" s="1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4.5">
      <c r="A645" s="4"/>
      <c r="B645" s="29"/>
      <c r="C645" s="35"/>
      <c r="D645" s="4"/>
      <c r="E645" s="16"/>
      <c r="F645" s="1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4.5">
      <c r="A646" s="4"/>
      <c r="B646" s="29"/>
      <c r="C646" s="35"/>
      <c r="D646" s="4"/>
      <c r="E646" s="16"/>
      <c r="F646" s="1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4.5">
      <c r="A647" s="4"/>
      <c r="B647" s="29"/>
      <c r="C647" s="35"/>
      <c r="D647" s="4"/>
      <c r="E647" s="16"/>
      <c r="F647" s="1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4.5">
      <c r="A648" s="4"/>
      <c r="B648" s="29"/>
      <c r="C648" s="35"/>
      <c r="D648" s="4"/>
      <c r="E648" s="16"/>
      <c r="F648" s="1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4.5">
      <c r="A649" s="4"/>
      <c r="B649" s="29"/>
      <c r="C649" s="35"/>
      <c r="D649" s="4"/>
      <c r="E649" s="16"/>
      <c r="F649" s="1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4.5">
      <c r="A650" s="4"/>
      <c r="B650" s="29"/>
      <c r="C650" s="35"/>
      <c r="D650" s="4"/>
      <c r="E650" s="16"/>
      <c r="F650" s="1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4.5">
      <c r="A651" s="4"/>
      <c r="B651" s="29"/>
      <c r="C651" s="35"/>
      <c r="D651" s="4"/>
      <c r="E651" s="16"/>
      <c r="F651" s="1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4.5">
      <c r="A652" s="4"/>
      <c r="B652" s="29"/>
      <c r="C652" s="35"/>
      <c r="D652" s="4"/>
      <c r="E652" s="16"/>
      <c r="F652" s="1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4.5">
      <c r="A653" s="4"/>
      <c r="B653" s="29"/>
      <c r="C653" s="35"/>
      <c r="D653" s="4"/>
      <c r="E653" s="16"/>
      <c r="F653" s="1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4.5">
      <c r="A654" s="4"/>
      <c r="B654" s="29"/>
      <c r="C654" s="35"/>
      <c r="D654" s="4"/>
      <c r="E654" s="16"/>
      <c r="F654" s="1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4.5">
      <c r="A655" s="4"/>
      <c r="B655" s="29"/>
      <c r="C655" s="35"/>
      <c r="D655" s="4"/>
      <c r="E655" s="16"/>
      <c r="F655" s="1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4.5">
      <c r="A656" s="4"/>
      <c r="B656" s="29"/>
      <c r="C656" s="35"/>
      <c r="D656" s="4"/>
      <c r="E656" s="16"/>
      <c r="F656" s="1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4.5">
      <c r="A657" s="4"/>
      <c r="B657" s="29"/>
      <c r="C657" s="35"/>
      <c r="D657" s="4"/>
      <c r="E657" s="16"/>
      <c r="F657" s="1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4.5">
      <c r="A658" s="4"/>
      <c r="B658" s="29"/>
      <c r="C658" s="35"/>
      <c r="D658" s="4"/>
      <c r="E658" s="16"/>
      <c r="F658" s="1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4.5">
      <c r="A659" s="4"/>
      <c r="B659" s="29"/>
      <c r="C659" s="35"/>
      <c r="D659" s="4"/>
      <c r="E659" s="16"/>
      <c r="F659" s="1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4.5">
      <c r="A660" s="4"/>
      <c r="B660" s="29"/>
      <c r="C660" s="35"/>
      <c r="D660" s="4"/>
      <c r="E660" s="16"/>
      <c r="F660" s="1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4.5">
      <c r="A661" s="4"/>
      <c r="B661" s="29"/>
      <c r="C661" s="35"/>
      <c r="D661" s="4"/>
      <c r="E661" s="16"/>
      <c r="F661" s="1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4.5">
      <c r="A662" s="4"/>
      <c r="B662" s="29"/>
      <c r="C662" s="35"/>
      <c r="D662" s="4"/>
      <c r="E662" s="16"/>
      <c r="F662" s="1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4.5">
      <c r="A663" s="4"/>
      <c r="B663" s="29"/>
      <c r="C663" s="35"/>
      <c r="D663" s="4"/>
      <c r="E663" s="16"/>
      <c r="F663" s="1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4.5">
      <c r="A664" s="4"/>
      <c r="B664" s="29"/>
      <c r="C664" s="35"/>
      <c r="D664" s="4"/>
      <c r="E664" s="16"/>
      <c r="F664" s="1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4.5">
      <c r="A665" s="4"/>
      <c r="B665" s="29"/>
      <c r="C665" s="35"/>
      <c r="D665" s="4"/>
      <c r="E665" s="16"/>
      <c r="F665" s="1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4.5">
      <c r="A666" s="4"/>
      <c r="B666" s="29"/>
      <c r="C666" s="35"/>
      <c r="D666" s="4"/>
      <c r="E666" s="16"/>
      <c r="F666" s="1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4.5">
      <c r="A667" s="4"/>
      <c r="B667" s="29"/>
      <c r="C667" s="35"/>
      <c r="D667" s="4"/>
      <c r="E667" s="16"/>
      <c r="F667" s="1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4.5">
      <c r="A668" s="4"/>
      <c r="B668" s="29"/>
      <c r="C668" s="35"/>
      <c r="D668" s="4"/>
      <c r="E668" s="16"/>
      <c r="F668" s="1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4.5">
      <c r="A669" s="4"/>
      <c r="B669" s="29"/>
      <c r="C669" s="35"/>
      <c r="D669" s="4"/>
      <c r="E669" s="16"/>
      <c r="F669" s="1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4.5">
      <c r="A670" s="4"/>
      <c r="B670" s="29"/>
      <c r="C670" s="35"/>
      <c r="D670" s="4"/>
      <c r="E670" s="16"/>
      <c r="F670" s="1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4.5">
      <c r="A671" s="4"/>
      <c r="B671" s="29"/>
      <c r="C671" s="35"/>
      <c r="D671" s="4"/>
      <c r="E671" s="16"/>
      <c r="F671" s="1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4.5">
      <c r="A672" s="4"/>
      <c r="B672" s="29"/>
      <c r="C672" s="35"/>
      <c r="D672" s="4"/>
      <c r="E672" s="16"/>
      <c r="F672" s="1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4.5">
      <c r="A673" s="4"/>
      <c r="B673" s="29"/>
      <c r="C673" s="35"/>
      <c r="D673" s="4"/>
      <c r="E673" s="16"/>
      <c r="F673" s="1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4.5">
      <c r="A674" s="4"/>
      <c r="B674" s="29"/>
      <c r="C674" s="35"/>
      <c r="D674" s="4"/>
      <c r="E674" s="16"/>
      <c r="F674" s="1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4.5">
      <c r="A675" s="4"/>
      <c r="B675" s="29"/>
      <c r="C675" s="35"/>
      <c r="D675" s="4"/>
      <c r="E675" s="16"/>
      <c r="F675" s="1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4.5">
      <c r="A676" s="4"/>
      <c r="B676" s="29"/>
      <c r="C676" s="35"/>
      <c r="D676" s="4"/>
      <c r="E676" s="16"/>
      <c r="F676" s="1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4.5">
      <c r="A677" s="4"/>
      <c r="B677" s="29"/>
      <c r="C677" s="35"/>
      <c r="D677" s="4"/>
      <c r="E677" s="16"/>
      <c r="F677" s="1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4.5">
      <c r="A678" s="4"/>
      <c r="B678" s="29"/>
      <c r="C678" s="35"/>
      <c r="D678" s="4"/>
      <c r="E678" s="16"/>
      <c r="F678" s="1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4.5">
      <c r="A679" s="4"/>
      <c r="B679" s="29"/>
      <c r="C679" s="35"/>
      <c r="D679" s="4"/>
      <c r="E679" s="16"/>
      <c r="F679" s="1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4.5">
      <c r="A680" s="4"/>
      <c r="B680" s="29"/>
      <c r="C680" s="35"/>
      <c r="D680" s="4"/>
      <c r="E680" s="16"/>
      <c r="F680" s="1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4.5">
      <c r="A681" s="4"/>
      <c r="B681" s="29"/>
      <c r="C681" s="35"/>
      <c r="D681" s="4"/>
      <c r="E681" s="16"/>
      <c r="F681" s="1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4.5">
      <c r="A682" s="4"/>
      <c r="B682" s="29"/>
      <c r="C682" s="35"/>
      <c r="D682" s="4"/>
      <c r="E682" s="16"/>
      <c r="F682" s="1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4.5">
      <c r="A683" s="4"/>
      <c r="B683" s="29"/>
      <c r="C683" s="35"/>
      <c r="D683" s="4"/>
      <c r="E683" s="16"/>
      <c r="F683" s="1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4.5">
      <c r="A684" s="4"/>
      <c r="B684" s="29"/>
      <c r="C684" s="35"/>
      <c r="D684" s="4"/>
      <c r="E684" s="16"/>
      <c r="F684" s="1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4.5">
      <c r="A685" s="4"/>
      <c r="B685" s="29"/>
      <c r="C685" s="35"/>
      <c r="D685" s="4"/>
      <c r="E685" s="16"/>
      <c r="F685" s="1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4.5">
      <c r="A686" s="4"/>
      <c r="B686" s="29"/>
      <c r="C686" s="35"/>
      <c r="D686" s="4"/>
      <c r="E686" s="16"/>
      <c r="F686" s="1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4.5">
      <c r="A687" s="4"/>
      <c r="B687" s="29"/>
      <c r="C687" s="35"/>
      <c r="D687" s="4"/>
      <c r="E687" s="16"/>
      <c r="F687" s="1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4.5">
      <c r="A688" s="4"/>
      <c r="B688" s="29"/>
      <c r="C688" s="35"/>
      <c r="D688" s="4"/>
      <c r="E688" s="16"/>
      <c r="F688" s="1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4.5">
      <c r="A689" s="4"/>
      <c r="B689" s="29"/>
      <c r="C689" s="35"/>
      <c r="D689" s="4"/>
      <c r="E689" s="16"/>
      <c r="F689" s="1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4.5">
      <c r="A690" s="4"/>
      <c r="B690" s="29"/>
      <c r="C690" s="35"/>
      <c r="D690" s="4"/>
      <c r="E690" s="16"/>
      <c r="F690" s="1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4.5">
      <c r="A691" s="4"/>
      <c r="B691" s="29"/>
      <c r="C691" s="35"/>
      <c r="D691" s="4"/>
      <c r="E691" s="16"/>
      <c r="F691" s="1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4.5">
      <c r="A692" s="4"/>
      <c r="B692" s="29"/>
      <c r="C692" s="35"/>
      <c r="D692" s="4"/>
      <c r="E692" s="16"/>
      <c r="F692" s="1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4.5">
      <c r="A693" s="4"/>
      <c r="B693" s="29"/>
      <c r="C693" s="35"/>
      <c r="D693" s="4"/>
      <c r="E693" s="16"/>
      <c r="F693" s="1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4.5">
      <c r="A694" s="4"/>
      <c r="B694" s="29"/>
      <c r="C694" s="35"/>
      <c r="D694" s="4"/>
      <c r="E694" s="16"/>
      <c r="F694" s="1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4.5">
      <c r="A695" s="4"/>
      <c r="B695" s="29"/>
      <c r="C695" s="35"/>
      <c r="D695" s="4"/>
      <c r="E695" s="16"/>
      <c r="F695" s="1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4.5">
      <c r="A696" s="4"/>
      <c r="B696" s="29"/>
      <c r="C696" s="35"/>
      <c r="D696" s="4"/>
      <c r="E696" s="16"/>
      <c r="F696" s="1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4.5">
      <c r="A697" s="4"/>
      <c r="B697" s="29"/>
      <c r="C697" s="35"/>
      <c r="D697" s="4"/>
      <c r="E697" s="16"/>
      <c r="F697" s="1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4.5">
      <c r="A698" s="4"/>
      <c r="B698" s="29"/>
      <c r="C698" s="35"/>
      <c r="D698" s="4"/>
      <c r="E698" s="16"/>
      <c r="F698" s="1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4.5">
      <c r="A699" s="4"/>
      <c r="B699" s="29"/>
      <c r="C699" s="35"/>
      <c r="D699" s="4"/>
      <c r="E699" s="16"/>
      <c r="F699" s="1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4.5">
      <c r="A700" s="4"/>
      <c r="B700" s="29"/>
      <c r="C700" s="35"/>
      <c r="D700" s="4"/>
      <c r="E700" s="16"/>
      <c r="F700" s="1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4.5">
      <c r="A701" s="4"/>
      <c r="B701" s="29"/>
      <c r="C701" s="35"/>
      <c r="D701" s="4"/>
      <c r="E701" s="16"/>
      <c r="F701" s="1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4.5">
      <c r="A702" s="4"/>
      <c r="B702" s="29"/>
      <c r="C702" s="35"/>
      <c r="D702" s="4"/>
      <c r="E702" s="16"/>
      <c r="F702" s="1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4.5">
      <c r="A703" s="4"/>
      <c r="B703" s="29"/>
      <c r="C703" s="35"/>
      <c r="D703" s="4"/>
      <c r="E703" s="16"/>
      <c r="F703" s="1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4.5">
      <c r="A704" s="4"/>
      <c r="B704" s="29"/>
      <c r="C704" s="35"/>
      <c r="D704" s="4"/>
      <c r="E704" s="16"/>
      <c r="F704" s="1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4.5">
      <c r="A705" s="4"/>
      <c r="B705" s="29"/>
      <c r="C705" s="35"/>
      <c r="D705" s="4"/>
      <c r="E705" s="16"/>
      <c r="F705" s="1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4.5">
      <c r="A706" s="4"/>
      <c r="B706" s="29"/>
      <c r="C706" s="35"/>
      <c r="D706" s="4"/>
      <c r="E706" s="16"/>
      <c r="F706" s="1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4.5">
      <c r="A707" s="4"/>
      <c r="B707" s="29"/>
      <c r="C707" s="35"/>
      <c r="D707" s="4"/>
      <c r="E707" s="16"/>
      <c r="F707" s="1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4.5">
      <c r="A708" s="4"/>
      <c r="B708" s="29"/>
      <c r="C708" s="35"/>
      <c r="D708" s="4"/>
      <c r="E708" s="16"/>
      <c r="F708" s="1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4.5">
      <c r="A709" s="4"/>
      <c r="B709" s="29"/>
      <c r="C709" s="35"/>
      <c r="D709" s="4"/>
      <c r="E709" s="16"/>
      <c r="F709" s="1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4.5">
      <c r="A710" s="4"/>
      <c r="B710" s="29"/>
      <c r="C710" s="35"/>
      <c r="D710" s="4"/>
      <c r="E710" s="16"/>
      <c r="F710" s="1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4.5">
      <c r="A711" s="4"/>
      <c r="B711" s="29"/>
      <c r="C711" s="35"/>
      <c r="D711" s="4"/>
      <c r="E711" s="16"/>
      <c r="F711" s="1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4.5">
      <c r="A712" s="4"/>
      <c r="B712" s="29"/>
      <c r="C712" s="35"/>
      <c r="D712" s="4"/>
      <c r="E712" s="16"/>
      <c r="F712" s="1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4.5">
      <c r="A713" s="4"/>
      <c r="B713" s="29"/>
      <c r="C713" s="35"/>
      <c r="D713" s="4"/>
      <c r="E713" s="16"/>
      <c r="F713" s="1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4.5">
      <c r="A714" s="4"/>
      <c r="B714" s="29"/>
      <c r="C714" s="35"/>
      <c r="D714" s="4"/>
      <c r="E714" s="16"/>
      <c r="F714" s="1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4.5">
      <c r="A715" s="4"/>
      <c r="B715" s="29"/>
      <c r="C715" s="35"/>
      <c r="D715" s="4"/>
      <c r="E715" s="16"/>
      <c r="F715" s="1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4.5">
      <c r="A716" s="4"/>
      <c r="B716" s="29"/>
      <c r="C716" s="35"/>
      <c r="D716" s="4"/>
      <c r="E716" s="16"/>
      <c r="F716" s="1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4.5">
      <c r="A717" s="4"/>
      <c r="B717" s="29"/>
      <c r="C717" s="35"/>
      <c r="D717" s="4"/>
      <c r="E717" s="16"/>
      <c r="F717" s="1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4.5">
      <c r="A718" s="4"/>
      <c r="B718" s="29"/>
      <c r="C718" s="35"/>
      <c r="D718" s="4"/>
      <c r="E718" s="16"/>
      <c r="F718" s="1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4.5">
      <c r="A719" s="4"/>
      <c r="B719" s="29"/>
      <c r="C719" s="35"/>
      <c r="D719" s="4"/>
      <c r="E719" s="16"/>
      <c r="F719" s="1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4.5">
      <c r="A720" s="4"/>
      <c r="B720" s="29"/>
      <c r="C720" s="35"/>
      <c r="D720" s="4"/>
      <c r="E720" s="16"/>
      <c r="F720" s="1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4.5">
      <c r="A721" s="4"/>
      <c r="B721" s="29"/>
      <c r="C721" s="35"/>
      <c r="D721" s="4"/>
      <c r="E721" s="16"/>
      <c r="F721" s="1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4.5">
      <c r="A722" s="4"/>
      <c r="B722" s="29"/>
      <c r="C722" s="35"/>
      <c r="D722" s="4"/>
      <c r="E722" s="16"/>
      <c r="F722" s="1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4.5">
      <c r="A723" s="4"/>
      <c r="B723" s="29"/>
      <c r="C723" s="35"/>
      <c r="D723" s="4"/>
      <c r="E723" s="16"/>
      <c r="F723" s="1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4.5">
      <c r="A724" s="4"/>
      <c r="B724" s="29"/>
      <c r="C724" s="35"/>
      <c r="D724" s="4"/>
      <c r="E724" s="16"/>
      <c r="F724" s="1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4.5">
      <c r="A725" s="4"/>
      <c r="B725" s="29"/>
      <c r="C725" s="35"/>
      <c r="D725" s="4"/>
      <c r="E725" s="16"/>
      <c r="F725" s="1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4.5">
      <c r="A726" s="4"/>
      <c r="B726" s="29"/>
      <c r="C726" s="35"/>
      <c r="D726" s="4"/>
      <c r="E726" s="16"/>
      <c r="F726" s="1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4.5">
      <c r="A727" s="4"/>
      <c r="B727" s="29"/>
      <c r="C727" s="35"/>
      <c r="D727" s="4"/>
      <c r="E727" s="16"/>
      <c r="F727" s="1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4.5">
      <c r="A728" s="4"/>
      <c r="B728" s="29"/>
      <c r="C728" s="35"/>
      <c r="D728" s="4"/>
      <c r="E728" s="16"/>
      <c r="F728" s="1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4.5">
      <c r="A729" s="4"/>
      <c r="B729" s="29"/>
      <c r="C729" s="35"/>
      <c r="D729" s="4"/>
      <c r="E729" s="16"/>
      <c r="F729" s="1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4.5">
      <c r="A730" s="4"/>
      <c r="B730" s="29"/>
      <c r="C730" s="35"/>
      <c r="D730" s="4"/>
      <c r="E730" s="16"/>
      <c r="F730" s="1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4.5">
      <c r="A731" s="4"/>
      <c r="B731" s="29"/>
      <c r="C731" s="35"/>
      <c r="D731" s="4"/>
      <c r="E731" s="16"/>
      <c r="F731" s="1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4.5">
      <c r="A732" s="4"/>
      <c r="B732" s="29"/>
      <c r="C732" s="35"/>
      <c r="D732" s="4"/>
      <c r="E732" s="16"/>
      <c r="F732" s="1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4.5">
      <c r="A733" s="4"/>
      <c r="B733" s="29"/>
      <c r="C733" s="35"/>
      <c r="D733" s="4"/>
      <c r="E733" s="16"/>
      <c r="F733" s="1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4.5">
      <c r="A734" s="4"/>
      <c r="B734" s="29"/>
      <c r="C734" s="35"/>
      <c r="D734" s="4"/>
      <c r="E734" s="16"/>
      <c r="F734" s="1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4.5">
      <c r="A735" s="4"/>
      <c r="B735" s="29"/>
      <c r="C735" s="35"/>
      <c r="D735" s="4"/>
      <c r="E735" s="16"/>
      <c r="F735" s="1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4.5">
      <c r="A736" s="4"/>
      <c r="B736" s="29"/>
      <c r="C736" s="35"/>
      <c r="D736" s="4"/>
      <c r="E736" s="16"/>
      <c r="F736" s="1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4.5">
      <c r="A737" s="4"/>
      <c r="B737" s="29"/>
      <c r="C737" s="35"/>
      <c r="D737" s="4"/>
      <c r="E737" s="16"/>
      <c r="F737" s="1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4.5">
      <c r="A738" s="4"/>
      <c r="B738" s="29"/>
      <c r="C738" s="35"/>
      <c r="D738" s="4"/>
      <c r="E738" s="16"/>
      <c r="F738" s="1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4.5">
      <c r="A739" s="4"/>
      <c r="B739" s="29"/>
      <c r="C739" s="35"/>
      <c r="D739" s="4"/>
      <c r="E739" s="16"/>
      <c r="F739" s="1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4.5">
      <c r="A740" s="4"/>
      <c r="B740" s="29"/>
      <c r="C740" s="35"/>
      <c r="D740" s="4"/>
      <c r="E740" s="16"/>
      <c r="F740" s="1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4.5">
      <c r="A741" s="4"/>
      <c r="B741" s="29"/>
      <c r="C741" s="35"/>
      <c r="D741" s="4"/>
      <c r="E741" s="16"/>
      <c r="F741" s="1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4.5">
      <c r="A742" s="4"/>
      <c r="B742" s="29"/>
      <c r="C742" s="35"/>
      <c r="D742" s="4"/>
      <c r="E742" s="16"/>
      <c r="F742" s="1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4.5">
      <c r="A743" s="4"/>
      <c r="B743" s="29"/>
      <c r="C743" s="35"/>
      <c r="D743" s="4"/>
      <c r="E743" s="16"/>
      <c r="F743" s="1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4.5">
      <c r="A744" s="4"/>
      <c r="B744" s="29"/>
      <c r="C744" s="35"/>
      <c r="D744" s="4"/>
      <c r="E744" s="16"/>
      <c r="F744" s="1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4.5">
      <c r="A745" s="4"/>
      <c r="B745" s="29"/>
      <c r="C745" s="35"/>
      <c r="D745" s="4"/>
      <c r="E745" s="16"/>
      <c r="F745" s="1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4.5">
      <c r="A746" s="4"/>
      <c r="B746" s="29"/>
      <c r="C746" s="35"/>
      <c r="D746" s="4"/>
      <c r="E746" s="16"/>
      <c r="F746" s="1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4.5">
      <c r="A747" s="4"/>
      <c r="B747" s="29"/>
      <c r="C747" s="35"/>
      <c r="D747" s="4"/>
      <c r="E747" s="16"/>
      <c r="F747" s="1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4.5">
      <c r="A748" s="4"/>
      <c r="B748" s="29"/>
      <c r="C748" s="35"/>
      <c r="D748" s="4"/>
      <c r="E748" s="16"/>
      <c r="F748" s="1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4.5">
      <c r="A749" s="4"/>
      <c r="B749" s="29"/>
      <c r="C749" s="35"/>
      <c r="D749" s="4"/>
      <c r="E749" s="16"/>
      <c r="F749" s="1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4.5">
      <c r="A750" s="4"/>
      <c r="B750" s="29"/>
      <c r="C750" s="35"/>
      <c r="D750" s="4"/>
      <c r="E750" s="16"/>
      <c r="F750" s="1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4.5">
      <c r="A751" s="4"/>
      <c r="B751" s="29"/>
      <c r="C751" s="35"/>
      <c r="D751" s="4"/>
      <c r="E751" s="16"/>
      <c r="F751" s="1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4.5">
      <c r="A752" s="4"/>
      <c r="B752" s="29"/>
      <c r="C752" s="35"/>
      <c r="D752" s="4"/>
      <c r="E752" s="16"/>
      <c r="F752" s="1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4.5">
      <c r="A753" s="4"/>
      <c r="B753" s="29"/>
      <c r="C753" s="35"/>
      <c r="D753" s="4"/>
      <c r="E753" s="16"/>
      <c r="F753" s="1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4.5">
      <c r="A754" s="4"/>
      <c r="B754" s="29"/>
      <c r="C754" s="35"/>
      <c r="D754" s="4"/>
      <c r="E754" s="16"/>
      <c r="F754" s="1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4.5">
      <c r="A755" s="4"/>
      <c r="B755" s="29"/>
      <c r="C755" s="35"/>
      <c r="D755" s="4"/>
      <c r="E755" s="16"/>
      <c r="F755" s="1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4.5">
      <c r="A756" s="4"/>
      <c r="B756" s="29"/>
      <c r="C756" s="35"/>
      <c r="D756" s="4"/>
      <c r="E756" s="16"/>
      <c r="F756" s="1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4.5">
      <c r="A757" s="4"/>
      <c r="B757" s="29"/>
      <c r="C757" s="35"/>
      <c r="D757" s="4"/>
      <c r="E757" s="16"/>
      <c r="F757" s="1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4.5">
      <c r="A758" s="4"/>
      <c r="B758" s="29"/>
      <c r="C758" s="35"/>
      <c r="D758" s="4"/>
      <c r="E758" s="16"/>
      <c r="F758" s="1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4.5">
      <c r="A759" s="4"/>
      <c r="B759" s="29"/>
      <c r="C759" s="35"/>
      <c r="D759" s="4"/>
      <c r="E759" s="16"/>
      <c r="F759" s="1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4.5">
      <c r="A760" s="4"/>
      <c r="B760" s="29"/>
      <c r="C760" s="35"/>
      <c r="D760" s="4"/>
      <c r="E760" s="16"/>
      <c r="F760" s="1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4.5">
      <c r="A761" s="4"/>
      <c r="B761" s="29"/>
      <c r="C761" s="35"/>
      <c r="D761" s="4"/>
      <c r="E761" s="16"/>
      <c r="F761" s="1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4.5">
      <c r="A762" s="4"/>
      <c r="B762" s="29"/>
      <c r="C762" s="35"/>
      <c r="D762" s="4"/>
      <c r="E762" s="16"/>
      <c r="F762" s="1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4.5">
      <c r="A763" s="4"/>
      <c r="B763" s="29"/>
      <c r="C763" s="35"/>
      <c r="D763" s="4"/>
      <c r="E763" s="16"/>
      <c r="F763" s="1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4.5">
      <c r="A764" s="4"/>
      <c r="B764" s="29"/>
      <c r="C764" s="35"/>
      <c r="D764" s="4"/>
      <c r="E764" s="16"/>
      <c r="F764" s="1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4.5">
      <c r="A765" s="4"/>
      <c r="B765" s="29"/>
      <c r="C765" s="35"/>
      <c r="D765" s="4"/>
      <c r="E765" s="16"/>
      <c r="F765" s="1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4.5">
      <c r="A766" s="4"/>
      <c r="B766" s="29"/>
      <c r="C766" s="35"/>
      <c r="D766" s="4"/>
      <c r="E766" s="16"/>
      <c r="F766" s="1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4.5">
      <c r="A767" s="4"/>
      <c r="B767" s="29"/>
      <c r="C767" s="35"/>
      <c r="D767" s="4"/>
      <c r="E767" s="16"/>
      <c r="F767" s="1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4.5">
      <c r="A768" s="4"/>
      <c r="B768" s="29"/>
      <c r="C768" s="35"/>
      <c r="D768" s="4"/>
      <c r="E768" s="16"/>
      <c r="F768" s="1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4.5">
      <c r="A769" s="4"/>
      <c r="B769" s="29"/>
      <c r="C769" s="35"/>
      <c r="D769" s="4"/>
      <c r="E769" s="16"/>
      <c r="F769" s="1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4.5">
      <c r="A770" s="4"/>
      <c r="B770" s="29"/>
      <c r="C770" s="35"/>
      <c r="D770" s="4"/>
      <c r="E770" s="16"/>
      <c r="F770" s="1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4.5">
      <c r="A771" s="4"/>
      <c r="B771" s="29"/>
      <c r="C771" s="35"/>
      <c r="D771" s="4"/>
      <c r="E771" s="16"/>
      <c r="F771" s="1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4.5">
      <c r="A772" s="4"/>
      <c r="B772" s="29"/>
      <c r="C772" s="35"/>
      <c r="D772" s="4"/>
      <c r="E772" s="16"/>
      <c r="F772" s="1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4.5">
      <c r="A773" s="4"/>
      <c r="B773" s="29"/>
      <c r="C773" s="35"/>
      <c r="D773" s="4"/>
      <c r="E773" s="16"/>
      <c r="F773" s="1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4.5">
      <c r="A774" s="4"/>
      <c r="B774" s="29"/>
      <c r="C774" s="35"/>
      <c r="D774" s="4"/>
      <c r="E774" s="16"/>
      <c r="F774" s="1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4.5">
      <c r="A775" s="4"/>
      <c r="B775" s="29"/>
      <c r="C775" s="35"/>
      <c r="D775" s="4"/>
      <c r="E775" s="16"/>
      <c r="F775" s="1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4.5">
      <c r="A776" s="4"/>
      <c r="B776" s="29"/>
      <c r="C776" s="35"/>
      <c r="D776" s="4"/>
      <c r="E776" s="16"/>
      <c r="F776" s="1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4.5">
      <c r="A777" s="4"/>
      <c r="B777" s="29"/>
      <c r="C777" s="35"/>
      <c r="D777" s="4"/>
      <c r="E777" s="16"/>
      <c r="F777" s="1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4.5">
      <c r="A778" s="4"/>
      <c r="B778" s="29"/>
      <c r="C778" s="35"/>
      <c r="D778" s="4"/>
      <c r="E778" s="16"/>
      <c r="F778" s="1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4.5">
      <c r="A779" s="4"/>
      <c r="B779" s="29"/>
      <c r="C779" s="35"/>
      <c r="D779" s="4"/>
      <c r="E779" s="16"/>
      <c r="F779" s="1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4.5">
      <c r="A780" s="4"/>
      <c r="B780" s="29"/>
      <c r="C780" s="35"/>
      <c r="D780" s="4"/>
      <c r="E780" s="16"/>
      <c r="F780" s="1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4.5">
      <c r="A781" s="4"/>
      <c r="B781" s="29"/>
      <c r="C781" s="35"/>
      <c r="D781" s="4"/>
      <c r="E781" s="16"/>
      <c r="F781" s="1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4.5">
      <c r="A782" s="4"/>
      <c r="B782" s="29"/>
      <c r="C782" s="35"/>
      <c r="D782" s="4"/>
      <c r="E782" s="16"/>
      <c r="F782" s="1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4.5">
      <c r="A783" s="4"/>
      <c r="B783" s="29"/>
      <c r="C783" s="35"/>
      <c r="D783" s="4"/>
      <c r="E783" s="16"/>
      <c r="F783" s="1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4.5">
      <c r="A784" s="4"/>
      <c r="B784" s="29"/>
      <c r="C784" s="35"/>
      <c r="D784" s="4"/>
      <c r="E784" s="16"/>
      <c r="F784" s="1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4.5">
      <c r="A785" s="4"/>
      <c r="B785" s="29"/>
      <c r="C785" s="35"/>
      <c r="D785" s="4"/>
      <c r="E785" s="16"/>
      <c r="F785" s="1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4.5">
      <c r="A786" s="4"/>
      <c r="B786" s="29"/>
      <c r="C786" s="35"/>
      <c r="D786" s="4"/>
      <c r="E786" s="16"/>
      <c r="F786" s="1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4.5">
      <c r="A787" s="4"/>
      <c r="B787" s="29"/>
      <c r="C787" s="35"/>
      <c r="D787" s="4"/>
      <c r="E787" s="16"/>
      <c r="F787" s="1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4.5">
      <c r="A788" s="4"/>
      <c r="B788" s="29"/>
      <c r="C788" s="35"/>
      <c r="D788" s="4"/>
      <c r="E788" s="16"/>
      <c r="F788" s="1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4.5">
      <c r="A789" s="4"/>
      <c r="B789" s="29"/>
      <c r="C789" s="35"/>
      <c r="D789" s="4"/>
      <c r="E789" s="16"/>
      <c r="F789" s="1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4.5">
      <c r="A790" s="4"/>
      <c r="B790" s="29"/>
      <c r="C790" s="35"/>
      <c r="D790" s="4"/>
      <c r="E790" s="16"/>
      <c r="F790" s="1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4.5">
      <c r="A791" s="4"/>
      <c r="B791" s="29"/>
      <c r="C791" s="35"/>
      <c r="D791" s="4"/>
      <c r="E791" s="16"/>
      <c r="F791" s="1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4.5">
      <c r="A792" s="4"/>
      <c r="B792" s="29"/>
      <c r="C792" s="35"/>
      <c r="D792" s="4"/>
      <c r="E792" s="16"/>
      <c r="F792" s="1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4.5">
      <c r="A793" s="4"/>
      <c r="B793" s="29"/>
      <c r="C793" s="35"/>
      <c r="D793" s="4"/>
      <c r="E793" s="16"/>
      <c r="F793" s="1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4.5">
      <c r="A794" s="4"/>
      <c r="B794" s="29"/>
      <c r="C794" s="35"/>
      <c r="D794" s="4"/>
      <c r="E794" s="16"/>
      <c r="F794" s="1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4.5">
      <c r="A795" s="4"/>
      <c r="B795" s="29"/>
      <c r="C795" s="35"/>
      <c r="D795" s="4"/>
      <c r="E795" s="16"/>
      <c r="F795" s="1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4.5">
      <c r="A796" s="4"/>
      <c r="B796" s="29"/>
      <c r="C796" s="35"/>
      <c r="D796" s="4"/>
      <c r="E796" s="16"/>
      <c r="F796" s="1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4.5">
      <c r="A797" s="4"/>
      <c r="B797" s="29"/>
      <c r="C797" s="35"/>
      <c r="D797" s="4"/>
      <c r="E797" s="16"/>
      <c r="F797" s="1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4.5">
      <c r="A798" s="4"/>
      <c r="B798" s="29"/>
      <c r="C798" s="35"/>
      <c r="D798" s="4"/>
      <c r="E798" s="16"/>
      <c r="F798" s="1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4.5">
      <c r="A799" s="4"/>
      <c r="B799" s="29"/>
      <c r="C799" s="35"/>
      <c r="D799" s="4"/>
      <c r="E799" s="16"/>
      <c r="F799" s="1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4.5">
      <c r="A800" s="4"/>
      <c r="B800" s="29"/>
      <c r="C800" s="35"/>
      <c r="D800" s="4"/>
      <c r="E800" s="16"/>
      <c r="F800" s="1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4.5">
      <c r="A801" s="4"/>
      <c r="B801" s="29"/>
      <c r="C801" s="35"/>
      <c r="D801" s="4"/>
      <c r="E801" s="16"/>
      <c r="F801" s="1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4.5">
      <c r="A802" s="4"/>
      <c r="B802" s="29"/>
      <c r="C802" s="35"/>
      <c r="D802" s="4"/>
      <c r="E802" s="16"/>
      <c r="F802" s="1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4.5">
      <c r="A803" s="4"/>
      <c r="B803" s="29"/>
      <c r="C803" s="35"/>
      <c r="D803" s="4"/>
      <c r="E803" s="16"/>
      <c r="F803" s="1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4.5">
      <c r="A804" s="4"/>
      <c r="B804" s="29"/>
      <c r="C804" s="35"/>
      <c r="D804" s="4"/>
      <c r="E804" s="16"/>
      <c r="F804" s="1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4.5">
      <c r="A805" s="4"/>
      <c r="B805" s="29"/>
      <c r="C805" s="35"/>
      <c r="D805" s="4"/>
      <c r="E805" s="16"/>
      <c r="F805" s="1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4.5">
      <c r="A806" s="4"/>
      <c r="B806" s="29"/>
      <c r="C806" s="35"/>
      <c r="D806" s="4"/>
      <c r="E806" s="16"/>
      <c r="F806" s="1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4.5">
      <c r="A807" s="4"/>
      <c r="B807" s="29"/>
      <c r="C807" s="35"/>
      <c r="D807" s="4"/>
      <c r="E807" s="16"/>
      <c r="F807" s="1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4.5">
      <c r="A808" s="4"/>
      <c r="B808" s="29"/>
      <c r="C808" s="35"/>
      <c r="D808" s="4"/>
      <c r="E808" s="16"/>
      <c r="F808" s="1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4.5">
      <c r="A809" s="4"/>
      <c r="B809" s="29"/>
      <c r="C809" s="35"/>
      <c r="D809" s="4"/>
      <c r="E809" s="16"/>
      <c r="F809" s="1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4.5">
      <c r="A810" s="4"/>
      <c r="B810" s="29"/>
      <c r="C810" s="35"/>
      <c r="D810" s="4"/>
      <c r="E810" s="16"/>
      <c r="F810" s="1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4.5">
      <c r="A811" s="4"/>
      <c r="B811" s="29"/>
      <c r="C811" s="35"/>
      <c r="D811" s="4"/>
      <c r="E811" s="16"/>
      <c r="F811" s="1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4.5">
      <c r="A812" s="4"/>
      <c r="B812" s="29"/>
      <c r="C812" s="35"/>
      <c r="D812" s="4"/>
      <c r="E812" s="16"/>
      <c r="F812" s="1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4.5">
      <c r="A813" s="4"/>
      <c r="B813" s="29"/>
      <c r="C813" s="35"/>
      <c r="D813" s="4"/>
      <c r="E813" s="16"/>
      <c r="F813" s="1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4.5">
      <c r="A814" s="4"/>
      <c r="B814" s="29"/>
      <c r="C814" s="35"/>
      <c r="D814" s="4"/>
      <c r="E814" s="16"/>
      <c r="F814" s="1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4.5">
      <c r="A815" s="4"/>
      <c r="B815" s="29"/>
      <c r="C815" s="35"/>
      <c r="D815" s="4"/>
      <c r="E815" s="16"/>
      <c r="F815" s="1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4.5">
      <c r="A816" s="4"/>
      <c r="B816" s="29"/>
      <c r="C816" s="35"/>
      <c r="D816" s="4"/>
      <c r="E816" s="16"/>
      <c r="F816" s="1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4.5">
      <c r="A817" s="4"/>
      <c r="B817" s="29"/>
      <c r="C817" s="35"/>
      <c r="D817" s="4"/>
      <c r="E817" s="16"/>
      <c r="F817" s="1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4.5">
      <c r="A818" s="4"/>
      <c r="B818" s="29"/>
      <c r="C818" s="35"/>
      <c r="D818" s="4"/>
      <c r="E818" s="16"/>
      <c r="F818" s="1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4.5">
      <c r="A819" s="4"/>
      <c r="B819" s="29"/>
      <c r="C819" s="35"/>
      <c r="D819" s="4"/>
      <c r="E819" s="16"/>
      <c r="F819" s="1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4.5">
      <c r="A820" s="4"/>
      <c r="B820" s="29"/>
      <c r="C820" s="35"/>
      <c r="D820" s="4"/>
      <c r="E820" s="16"/>
      <c r="F820" s="1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4.5">
      <c r="A821" s="4"/>
      <c r="B821" s="29"/>
      <c r="C821" s="35"/>
      <c r="D821" s="4"/>
      <c r="E821" s="16"/>
      <c r="F821" s="1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4.5">
      <c r="A822" s="4"/>
      <c r="B822" s="29"/>
      <c r="C822" s="35"/>
      <c r="D822" s="4"/>
      <c r="E822" s="16"/>
      <c r="F822" s="1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4.5">
      <c r="A823" s="4"/>
      <c r="B823" s="29"/>
      <c r="C823" s="35"/>
      <c r="D823" s="4"/>
      <c r="E823" s="16"/>
      <c r="F823" s="1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4.5">
      <c r="A824" s="4"/>
      <c r="B824" s="29"/>
      <c r="C824" s="35"/>
      <c r="D824" s="4"/>
      <c r="E824" s="16"/>
      <c r="F824" s="1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4.5">
      <c r="A825" s="4"/>
      <c r="B825" s="29"/>
      <c r="C825" s="35"/>
      <c r="D825" s="4"/>
      <c r="E825" s="16"/>
      <c r="F825" s="1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4.5">
      <c r="A826" s="4"/>
      <c r="B826" s="29"/>
      <c r="C826" s="35"/>
      <c r="D826" s="4"/>
      <c r="E826" s="16"/>
      <c r="F826" s="1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4.5">
      <c r="A827" s="4"/>
      <c r="B827" s="29"/>
      <c r="C827" s="35"/>
      <c r="D827" s="4"/>
      <c r="E827" s="16"/>
      <c r="F827" s="1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4.5">
      <c r="A828" s="4"/>
      <c r="B828" s="29"/>
      <c r="C828" s="35"/>
      <c r="D828" s="4"/>
      <c r="E828" s="16"/>
      <c r="F828" s="1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4.5">
      <c r="A829" s="4"/>
      <c r="B829" s="29"/>
      <c r="C829" s="35"/>
      <c r="D829" s="4"/>
      <c r="E829" s="16"/>
      <c r="F829" s="1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4.5">
      <c r="A830" s="4"/>
      <c r="B830" s="29"/>
      <c r="C830" s="35"/>
      <c r="D830" s="4"/>
      <c r="E830" s="16"/>
      <c r="F830" s="1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4.5">
      <c r="A831" s="4"/>
      <c r="B831" s="29"/>
      <c r="C831" s="35"/>
      <c r="D831" s="4"/>
      <c r="E831" s="16"/>
      <c r="F831" s="1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4.5">
      <c r="A832" s="4"/>
      <c r="B832" s="29"/>
      <c r="C832" s="35"/>
      <c r="D832" s="4"/>
      <c r="E832" s="16"/>
      <c r="F832" s="1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4.5">
      <c r="A833" s="4"/>
      <c r="B833" s="29"/>
      <c r="C833" s="35"/>
      <c r="D833" s="4"/>
      <c r="E833" s="16"/>
      <c r="F833" s="1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4.5">
      <c r="A834" s="4"/>
      <c r="B834" s="29"/>
      <c r="C834" s="35"/>
      <c r="D834" s="4"/>
      <c r="E834" s="16"/>
      <c r="F834" s="1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4.5">
      <c r="A835" s="4"/>
      <c r="B835" s="29"/>
      <c r="C835" s="35"/>
      <c r="D835" s="4"/>
      <c r="E835" s="16"/>
      <c r="F835" s="1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4.5">
      <c r="A836" s="4"/>
      <c r="B836" s="29"/>
      <c r="C836" s="35"/>
      <c r="D836" s="4"/>
      <c r="E836" s="16"/>
      <c r="F836" s="1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4.5">
      <c r="A837" s="4"/>
      <c r="B837" s="29"/>
      <c r="C837" s="35"/>
      <c r="D837" s="4"/>
      <c r="E837" s="16"/>
      <c r="F837" s="1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4.5">
      <c r="A838" s="4"/>
      <c r="B838" s="29"/>
      <c r="C838" s="35"/>
      <c r="D838" s="4"/>
      <c r="E838" s="16"/>
      <c r="F838" s="1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4.5">
      <c r="A839" s="4"/>
      <c r="B839" s="29"/>
      <c r="C839" s="35"/>
      <c r="D839" s="4"/>
      <c r="E839" s="16"/>
      <c r="F839" s="1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4.5">
      <c r="A840" s="4"/>
      <c r="B840" s="29"/>
      <c r="C840" s="35"/>
      <c r="D840" s="4"/>
      <c r="E840" s="16"/>
      <c r="F840" s="1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4.5">
      <c r="A841" s="4"/>
      <c r="B841" s="29"/>
      <c r="C841" s="35"/>
      <c r="D841" s="4"/>
      <c r="E841" s="16"/>
      <c r="F841" s="1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4.5">
      <c r="A842" s="4"/>
      <c r="B842" s="29"/>
      <c r="C842" s="35"/>
      <c r="D842" s="4"/>
      <c r="E842" s="16"/>
      <c r="F842" s="1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4.5">
      <c r="A843" s="4"/>
      <c r="B843" s="29"/>
      <c r="C843" s="35"/>
      <c r="D843" s="4"/>
      <c r="E843" s="16"/>
      <c r="F843" s="1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4.5">
      <c r="A844" s="4"/>
      <c r="B844" s="29"/>
      <c r="C844" s="35"/>
      <c r="D844" s="4"/>
      <c r="E844" s="16"/>
      <c r="F844" s="1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4.5">
      <c r="A845" s="4"/>
      <c r="B845" s="29"/>
      <c r="C845" s="35"/>
      <c r="D845" s="4"/>
      <c r="E845" s="16"/>
      <c r="F845" s="1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4.5">
      <c r="A846" s="4"/>
      <c r="B846" s="29"/>
      <c r="C846" s="35"/>
      <c r="D846" s="4"/>
      <c r="E846" s="16"/>
      <c r="F846" s="1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4.5">
      <c r="A847" s="4"/>
      <c r="B847" s="29"/>
      <c r="C847" s="35"/>
      <c r="D847" s="4"/>
      <c r="E847" s="16"/>
      <c r="F847" s="1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4.5">
      <c r="A848" s="4"/>
      <c r="B848" s="29"/>
      <c r="C848" s="35"/>
      <c r="D848" s="4"/>
      <c r="E848" s="16"/>
      <c r="F848" s="1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4.5">
      <c r="A849" s="4"/>
      <c r="B849" s="29"/>
      <c r="C849" s="35"/>
      <c r="D849" s="4"/>
      <c r="E849" s="16"/>
      <c r="F849" s="1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4.5">
      <c r="A850" s="4"/>
      <c r="B850" s="29"/>
      <c r="C850" s="35"/>
      <c r="D850" s="4"/>
      <c r="E850" s="16"/>
      <c r="F850" s="1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4.5">
      <c r="A851" s="4"/>
      <c r="B851" s="29"/>
      <c r="C851" s="35"/>
      <c r="D851" s="4"/>
      <c r="E851" s="16"/>
      <c r="F851" s="1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4.5">
      <c r="A852" s="4"/>
      <c r="B852" s="29"/>
      <c r="C852" s="35"/>
      <c r="D852" s="4"/>
      <c r="E852" s="16"/>
      <c r="F852" s="1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4.5">
      <c r="A853" s="4"/>
      <c r="B853" s="29"/>
      <c r="C853" s="35"/>
      <c r="D853" s="4"/>
      <c r="E853" s="16"/>
      <c r="F853" s="1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4.5">
      <c r="A854" s="4"/>
      <c r="B854" s="29"/>
      <c r="C854" s="35"/>
      <c r="D854" s="4"/>
      <c r="E854" s="16"/>
      <c r="F854" s="1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4.5">
      <c r="A855" s="4"/>
      <c r="B855" s="29"/>
      <c r="C855" s="35"/>
      <c r="D855" s="4"/>
      <c r="E855" s="16"/>
      <c r="F855" s="1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4.5">
      <c r="A856" s="4"/>
      <c r="B856" s="29"/>
      <c r="C856" s="35"/>
      <c r="D856" s="4"/>
      <c r="E856" s="16"/>
      <c r="F856" s="1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4.5">
      <c r="A857" s="4"/>
      <c r="B857" s="29"/>
      <c r="C857" s="35"/>
      <c r="D857" s="4"/>
      <c r="E857" s="16"/>
      <c r="F857" s="1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4.5">
      <c r="A858" s="4"/>
      <c r="B858" s="29"/>
      <c r="C858" s="35"/>
      <c r="D858" s="4"/>
      <c r="E858" s="16"/>
      <c r="F858" s="1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4.5">
      <c r="A859" s="4"/>
      <c r="B859" s="29"/>
      <c r="C859" s="35"/>
      <c r="D859" s="4"/>
      <c r="E859" s="16"/>
      <c r="F859" s="1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4.5">
      <c r="A860" s="4"/>
      <c r="B860" s="29"/>
      <c r="C860" s="35"/>
      <c r="D860" s="4"/>
      <c r="E860" s="16"/>
      <c r="F860" s="1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4.5">
      <c r="A861" s="4"/>
      <c r="B861" s="29"/>
      <c r="C861" s="35"/>
      <c r="D861" s="4"/>
      <c r="E861" s="16"/>
      <c r="F861" s="1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4.5">
      <c r="A862" s="4"/>
      <c r="B862" s="29"/>
      <c r="C862" s="35"/>
      <c r="D862" s="4"/>
      <c r="E862" s="16"/>
      <c r="F862" s="1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4.5">
      <c r="A863" s="4"/>
      <c r="B863" s="29"/>
      <c r="C863" s="35"/>
      <c r="D863" s="4"/>
      <c r="E863" s="16"/>
      <c r="F863" s="1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4.5">
      <c r="A864" s="4"/>
      <c r="B864" s="29"/>
      <c r="C864" s="35"/>
      <c r="D864" s="4"/>
      <c r="E864" s="16"/>
      <c r="F864" s="1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4.5">
      <c r="A865" s="4"/>
      <c r="B865" s="29"/>
      <c r="C865" s="35"/>
      <c r="D865" s="4"/>
      <c r="E865" s="16"/>
      <c r="F865" s="1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4.5">
      <c r="A866" s="4"/>
      <c r="B866" s="29"/>
      <c r="C866" s="35"/>
      <c r="D866" s="4"/>
      <c r="E866" s="16"/>
      <c r="F866" s="1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4.5">
      <c r="A867" s="4"/>
      <c r="B867" s="29"/>
      <c r="C867" s="35"/>
      <c r="D867" s="4"/>
      <c r="E867" s="16"/>
      <c r="F867" s="1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4.5">
      <c r="A868" s="4"/>
      <c r="B868" s="29"/>
      <c r="C868" s="35"/>
      <c r="D868" s="4"/>
      <c r="E868" s="16"/>
      <c r="F868" s="1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4.5">
      <c r="A869" s="4"/>
      <c r="B869" s="29"/>
      <c r="C869" s="35"/>
      <c r="D869" s="4"/>
      <c r="E869" s="16"/>
      <c r="F869" s="1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4.5">
      <c r="A870" s="4"/>
      <c r="B870" s="29"/>
      <c r="C870" s="35"/>
      <c r="D870" s="4"/>
      <c r="E870" s="16"/>
      <c r="F870" s="1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4.5">
      <c r="A871" s="4"/>
      <c r="B871" s="29"/>
      <c r="C871" s="35"/>
      <c r="D871" s="4"/>
      <c r="E871" s="16"/>
      <c r="F871" s="1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4.5">
      <c r="A872" s="4"/>
      <c r="B872" s="29"/>
      <c r="C872" s="35"/>
      <c r="D872" s="4"/>
      <c r="E872" s="16"/>
      <c r="F872" s="1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4.5">
      <c r="A873" s="4"/>
      <c r="B873" s="29"/>
      <c r="C873" s="35"/>
      <c r="D873" s="4"/>
      <c r="E873" s="16"/>
      <c r="F873" s="1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4.5">
      <c r="A874" s="4"/>
      <c r="B874" s="29"/>
      <c r="C874" s="35"/>
      <c r="D874" s="4"/>
      <c r="E874" s="16"/>
      <c r="F874" s="1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4.5">
      <c r="A875" s="4"/>
      <c r="B875" s="29"/>
      <c r="C875" s="35"/>
      <c r="D875" s="4"/>
      <c r="E875" s="16"/>
      <c r="F875" s="1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4.5">
      <c r="A876" s="4"/>
      <c r="B876" s="29"/>
      <c r="C876" s="35"/>
      <c r="D876" s="4"/>
      <c r="E876" s="16"/>
      <c r="F876" s="1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4.5">
      <c r="A877" s="4"/>
      <c r="B877" s="29"/>
      <c r="C877" s="35"/>
      <c r="D877" s="4"/>
      <c r="E877" s="16"/>
      <c r="F877" s="1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4.5">
      <c r="A878" s="4"/>
      <c r="B878" s="29"/>
      <c r="C878" s="35"/>
      <c r="D878" s="4"/>
      <c r="E878" s="16"/>
      <c r="F878" s="1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4.5">
      <c r="A879" s="4"/>
      <c r="B879" s="29"/>
      <c r="C879" s="35"/>
      <c r="D879" s="4"/>
      <c r="E879" s="16"/>
      <c r="F879" s="1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4.5">
      <c r="A880" s="4"/>
      <c r="B880" s="29"/>
      <c r="C880" s="35"/>
      <c r="D880" s="4"/>
      <c r="E880" s="16"/>
      <c r="F880" s="1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4.5">
      <c r="A881" s="4"/>
      <c r="B881" s="29"/>
      <c r="C881" s="35"/>
      <c r="D881" s="4"/>
      <c r="E881" s="16"/>
      <c r="F881" s="1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4.5">
      <c r="A882" s="4"/>
      <c r="B882" s="29"/>
      <c r="C882" s="35"/>
      <c r="D882" s="4"/>
      <c r="E882" s="16"/>
      <c r="F882" s="1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4.5">
      <c r="A883" s="4"/>
      <c r="B883" s="29"/>
      <c r="C883" s="35"/>
      <c r="D883" s="4"/>
      <c r="E883" s="16"/>
      <c r="F883" s="1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4.5">
      <c r="A884" s="4"/>
      <c r="B884" s="29"/>
      <c r="C884" s="35"/>
      <c r="D884" s="4"/>
      <c r="E884" s="16"/>
      <c r="F884" s="1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4.5">
      <c r="A885" s="4"/>
      <c r="B885" s="29"/>
      <c r="C885" s="35"/>
      <c r="D885" s="4"/>
      <c r="E885" s="16"/>
      <c r="F885" s="1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4.5">
      <c r="A886" s="4"/>
      <c r="B886" s="29"/>
      <c r="C886" s="35"/>
      <c r="D886" s="4"/>
      <c r="E886" s="16"/>
      <c r="F886" s="1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4.5">
      <c r="A887" s="4"/>
      <c r="B887" s="29"/>
      <c r="C887" s="35"/>
      <c r="D887" s="4"/>
      <c r="E887" s="16"/>
      <c r="F887" s="1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4.5">
      <c r="A888" s="4"/>
      <c r="B888" s="29"/>
      <c r="C888" s="35"/>
      <c r="D888" s="4"/>
      <c r="E888" s="16"/>
      <c r="F888" s="1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4.5">
      <c r="A889" s="4"/>
      <c r="B889" s="29"/>
      <c r="C889" s="35"/>
      <c r="D889" s="4"/>
      <c r="E889" s="16"/>
      <c r="F889" s="1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4.5">
      <c r="A890" s="4"/>
      <c r="B890" s="29"/>
      <c r="C890" s="35"/>
      <c r="D890" s="4"/>
      <c r="E890" s="16"/>
      <c r="F890" s="1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4.5">
      <c r="A891" s="4"/>
      <c r="B891" s="29"/>
      <c r="C891" s="35"/>
      <c r="D891" s="4"/>
      <c r="E891" s="16"/>
      <c r="F891" s="1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4.5">
      <c r="A892" s="4"/>
      <c r="B892" s="29"/>
      <c r="C892" s="35"/>
      <c r="D892" s="4"/>
      <c r="E892" s="16"/>
      <c r="F892" s="1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4.5">
      <c r="A893" s="4"/>
      <c r="B893" s="29"/>
      <c r="C893" s="35"/>
      <c r="D893" s="4"/>
      <c r="E893" s="16"/>
      <c r="F893" s="1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4.5">
      <c r="A894" s="4"/>
      <c r="B894" s="29"/>
      <c r="C894" s="35"/>
      <c r="D894" s="4"/>
      <c r="E894" s="16"/>
      <c r="F894" s="1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4.5">
      <c r="A895" s="4"/>
      <c r="B895" s="29"/>
      <c r="C895" s="35"/>
      <c r="D895" s="4"/>
      <c r="E895" s="16"/>
      <c r="F895" s="1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4.5">
      <c r="A896" s="4"/>
      <c r="B896" s="29"/>
      <c r="C896" s="35"/>
      <c r="D896" s="4"/>
      <c r="E896" s="16"/>
      <c r="F896" s="1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4.5">
      <c r="A897" s="4"/>
      <c r="B897" s="29"/>
      <c r="C897" s="35"/>
      <c r="D897" s="4"/>
      <c r="E897" s="16"/>
      <c r="F897" s="1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4.5">
      <c r="A898" s="4"/>
      <c r="B898" s="29"/>
      <c r="C898" s="35"/>
      <c r="D898" s="4"/>
      <c r="E898" s="16"/>
      <c r="F898" s="1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4.5">
      <c r="A899" s="4"/>
      <c r="B899" s="29"/>
      <c r="C899" s="35"/>
      <c r="D899" s="4"/>
      <c r="E899" s="16"/>
      <c r="F899" s="1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4.5">
      <c r="A900" s="4"/>
      <c r="B900" s="29"/>
      <c r="C900" s="35"/>
      <c r="D900" s="4"/>
      <c r="E900" s="16"/>
      <c r="F900" s="1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4.5">
      <c r="A901" s="4"/>
      <c r="B901" s="29"/>
      <c r="C901" s="35"/>
      <c r="D901" s="4"/>
      <c r="E901" s="16"/>
      <c r="F901" s="1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4.5">
      <c r="A902" s="4"/>
      <c r="B902" s="29"/>
      <c r="C902" s="35"/>
      <c r="D902" s="4"/>
      <c r="E902" s="16"/>
      <c r="F902" s="1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4.5">
      <c r="A903" s="4"/>
      <c r="B903" s="29"/>
      <c r="C903" s="35"/>
      <c r="D903" s="4"/>
      <c r="E903" s="16"/>
      <c r="F903" s="1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4.5">
      <c r="A904" s="4"/>
      <c r="B904" s="29"/>
      <c r="C904" s="35"/>
      <c r="D904" s="4"/>
      <c r="E904" s="16"/>
      <c r="F904" s="1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4.5">
      <c r="A905" s="4"/>
      <c r="B905" s="29"/>
      <c r="C905" s="35"/>
      <c r="D905" s="4"/>
      <c r="E905" s="16"/>
      <c r="F905" s="1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4.5">
      <c r="A906" s="4"/>
      <c r="B906" s="29"/>
      <c r="C906" s="35"/>
      <c r="D906" s="4"/>
      <c r="E906" s="16"/>
      <c r="F906" s="1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4.5">
      <c r="A907" s="4"/>
      <c r="B907" s="29"/>
      <c r="C907" s="35"/>
      <c r="D907" s="4"/>
      <c r="E907" s="16"/>
      <c r="F907" s="1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4.5">
      <c r="A908" s="4"/>
      <c r="B908" s="29"/>
      <c r="C908" s="35"/>
      <c r="D908" s="4"/>
      <c r="E908" s="16"/>
      <c r="F908" s="1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4.5">
      <c r="A909" s="4"/>
      <c r="B909" s="29"/>
      <c r="C909" s="35"/>
      <c r="D909" s="4"/>
      <c r="E909" s="16"/>
      <c r="F909" s="1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4.5">
      <c r="A910" s="4"/>
      <c r="B910" s="29"/>
      <c r="C910" s="35"/>
      <c r="D910" s="4"/>
      <c r="E910" s="16"/>
      <c r="F910" s="1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4.5">
      <c r="A911" s="4"/>
      <c r="B911" s="29"/>
      <c r="C911" s="35"/>
      <c r="D911" s="4"/>
      <c r="E911" s="16"/>
      <c r="F911" s="1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4.5">
      <c r="A912" s="4"/>
      <c r="B912" s="29"/>
      <c r="C912" s="35"/>
      <c r="D912" s="4"/>
      <c r="E912" s="16"/>
      <c r="F912" s="1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4.5">
      <c r="A913" s="4"/>
      <c r="B913" s="29"/>
      <c r="C913" s="35"/>
      <c r="D913" s="4"/>
      <c r="E913" s="16"/>
      <c r="F913" s="1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4.5">
      <c r="A914" s="4"/>
      <c r="B914" s="29"/>
      <c r="C914" s="35"/>
      <c r="D914" s="4"/>
      <c r="E914" s="16"/>
      <c r="F914" s="1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4.5">
      <c r="A915" s="4"/>
      <c r="B915" s="29"/>
      <c r="C915" s="35"/>
      <c r="D915" s="4"/>
      <c r="E915" s="16"/>
      <c r="F915" s="1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4.5">
      <c r="A916" s="4"/>
      <c r="B916" s="29"/>
      <c r="C916" s="35"/>
      <c r="D916" s="4"/>
      <c r="E916" s="16"/>
      <c r="F916" s="1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4.5">
      <c r="A917" s="4"/>
      <c r="B917" s="29"/>
      <c r="C917" s="35"/>
      <c r="D917" s="4"/>
      <c r="E917" s="16"/>
      <c r="F917" s="1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4.5">
      <c r="A918" s="4"/>
      <c r="B918" s="29"/>
      <c r="C918" s="35"/>
      <c r="D918" s="4"/>
      <c r="E918" s="16"/>
      <c r="F918" s="1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4.5">
      <c r="A919" s="4"/>
      <c r="B919" s="29"/>
      <c r="C919" s="35"/>
      <c r="D919" s="4"/>
      <c r="E919" s="16"/>
      <c r="F919" s="1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4.5">
      <c r="A920" s="4"/>
      <c r="B920" s="29"/>
      <c r="C920" s="35"/>
      <c r="D920" s="4"/>
      <c r="E920" s="16"/>
      <c r="F920" s="1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4.5">
      <c r="A921" s="4"/>
      <c r="B921" s="29"/>
      <c r="C921" s="35"/>
      <c r="D921" s="4"/>
      <c r="E921" s="16"/>
      <c r="F921" s="1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4.5">
      <c r="A922" s="4"/>
      <c r="B922" s="29"/>
      <c r="C922" s="35"/>
      <c r="D922" s="4"/>
      <c r="E922" s="16"/>
      <c r="F922" s="1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4.5">
      <c r="A923" s="4"/>
      <c r="B923" s="29"/>
      <c r="C923" s="35"/>
      <c r="D923" s="4"/>
      <c r="E923" s="16"/>
      <c r="F923" s="1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4.5">
      <c r="A924" s="4"/>
      <c r="B924" s="29"/>
      <c r="C924" s="35"/>
      <c r="D924" s="4"/>
      <c r="E924" s="16"/>
      <c r="F924" s="1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4.5">
      <c r="A925" s="4"/>
      <c r="B925" s="29"/>
      <c r="C925" s="35"/>
      <c r="D925" s="4"/>
      <c r="E925" s="16"/>
      <c r="F925" s="1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4.5">
      <c r="A926" s="4"/>
      <c r="B926" s="29"/>
      <c r="C926" s="35"/>
      <c r="D926" s="4"/>
      <c r="E926" s="16"/>
      <c r="F926" s="1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4.5">
      <c r="A927" s="4"/>
      <c r="B927" s="29"/>
      <c r="C927" s="35"/>
      <c r="D927" s="4"/>
      <c r="E927" s="16"/>
      <c r="F927" s="1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4.5">
      <c r="A928" s="4"/>
      <c r="B928" s="29"/>
      <c r="C928" s="35"/>
      <c r="D928" s="4"/>
      <c r="E928" s="16"/>
      <c r="F928" s="1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4.5">
      <c r="A929" s="4"/>
      <c r="B929" s="29"/>
      <c r="C929" s="35"/>
      <c r="D929" s="4"/>
      <c r="E929" s="16"/>
      <c r="F929" s="1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4.5">
      <c r="A930" s="4"/>
      <c r="B930" s="29"/>
      <c r="C930" s="35"/>
      <c r="D930" s="4"/>
      <c r="E930" s="16"/>
      <c r="F930" s="1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4.5">
      <c r="A931" s="4"/>
      <c r="B931" s="29"/>
      <c r="C931" s="35"/>
      <c r="D931" s="4"/>
      <c r="E931" s="16"/>
      <c r="F931" s="1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4.5">
      <c r="A932" s="4"/>
      <c r="B932" s="29"/>
      <c r="C932" s="35"/>
      <c r="D932" s="4"/>
      <c r="E932" s="16"/>
      <c r="F932" s="1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4.5">
      <c r="A933" s="4"/>
      <c r="B933" s="29"/>
      <c r="C933" s="35"/>
      <c r="D933" s="4"/>
      <c r="E933" s="16"/>
      <c r="F933" s="1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4.5">
      <c r="A934" s="4"/>
      <c r="B934" s="29"/>
      <c r="C934" s="35"/>
      <c r="D934" s="4"/>
      <c r="E934" s="16"/>
      <c r="F934" s="1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4.5">
      <c r="A935" s="4"/>
      <c r="B935" s="29"/>
      <c r="C935" s="35"/>
      <c r="D935" s="4"/>
      <c r="E935" s="16"/>
      <c r="F935" s="1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4.5">
      <c r="A936" s="4"/>
      <c r="B936" s="29"/>
      <c r="C936" s="35"/>
      <c r="D936" s="4"/>
      <c r="E936" s="16"/>
      <c r="F936" s="1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4.5">
      <c r="A937" s="4"/>
      <c r="B937" s="29"/>
      <c r="C937" s="35"/>
      <c r="D937" s="4"/>
      <c r="E937" s="16"/>
      <c r="F937" s="1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4.5">
      <c r="A938" s="4"/>
      <c r="B938" s="29"/>
      <c r="C938" s="35"/>
      <c r="D938" s="4"/>
      <c r="E938" s="16"/>
      <c r="F938" s="1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4.5">
      <c r="A939" s="4"/>
      <c r="B939" s="29"/>
      <c r="C939" s="35"/>
      <c r="D939" s="4"/>
      <c r="E939" s="16"/>
      <c r="F939" s="1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spans="1:30" ht="14.5">
      <c r="A940" s="4"/>
      <c r="B940" s="29"/>
      <c r="C940" s="35"/>
      <c r="D940" s="4"/>
      <c r="E940" s="16"/>
      <c r="F940" s="1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spans="1:30" ht="14.5">
      <c r="A941" s="4"/>
      <c r="B941" s="29"/>
      <c r="C941" s="35"/>
      <c r="D941" s="4"/>
      <c r="E941" s="16"/>
      <c r="F941" s="1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spans="1:30" ht="14.5">
      <c r="A942" s="4"/>
      <c r="B942" s="29"/>
      <c r="C942" s="35"/>
      <c r="D942" s="4"/>
      <c r="E942" s="16"/>
      <c r="F942" s="1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spans="1:30" ht="14.5">
      <c r="A943" s="4"/>
      <c r="B943" s="29"/>
      <c r="C943" s="35"/>
      <c r="D943" s="4"/>
      <c r="E943" s="16"/>
      <c r="F943" s="1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spans="1:30" ht="14.5">
      <c r="A944" s="4"/>
      <c r="B944" s="29"/>
      <c r="C944" s="35"/>
      <c r="D944" s="4"/>
      <c r="E944" s="16"/>
      <c r="F944" s="1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spans="1:30" ht="14.5">
      <c r="A945" s="4"/>
      <c r="B945" s="29"/>
      <c r="C945" s="35"/>
      <c r="D945" s="4"/>
      <c r="E945" s="16"/>
      <c r="F945" s="1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spans="1:30" ht="14.5">
      <c r="A946" s="4"/>
      <c r="B946" s="29"/>
      <c r="C946" s="35"/>
      <c r="D946" s="4"/>
      <c r="E946" s="16"/>
      <c r="F946" s="1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spans="1:30" ht="14.5">
      <c r="A947" s="4"/>
      <c r="B947" s="29"/>
      <c r="C947" s="35"/>
      <c r="D947" s="4"/>
      <c r="E947" s="16"/>
      <c r="F947" s="1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spans="1:30" ht="14.5">
      <c r="A948" s="4"/>
      <c r="B948" s="29"/>
      <c r="C948" s="35"/>
      <c r="D948" s="4"/>
      <c r="E948" s="16"/>
      <c r="F948" s="1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spans="1:30" ht="14.5">
      <c r="A949" s="4"/>
      <c r="B949" s="29"/>
      <c r="C949" s="35"/>
      <c r="D949" s="4"/>
      <c r="E949" s="16"/>
      <c r="F949" s="1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14.5">
      <c r="A950" s="4"/>
      <c r="B950" s="29"/>
      <c r="C950" s="35"/>
      <c r="D950" s="4"/>
      <c r="E950" s="16"/>
      <c r="F950" s="1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spans="1:30" ht="14.5">
      <c r="A951" s="4"/>
      <c r="B951" s="29"/>
      <c r="C951" s="35"/>
      <c r="D951" s="4"/>
      <c r="E951" s="16"/>
      <c r="F951" s="1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spans="1:30" ht="14.5">
      <c r="A952" s="4"/>
      <c r="B952" s="29"/>
      <c r="C952" s="35"/>
      <c r="D952" s="4"/>
      <c r="E952" s="16"/>
      <c r="F952" s="1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spans="1:30" ht="14.5">
      <c r="A953" s="4"/>
      <c r="B953" s="29"/>
      <c r="C953" s="35"/>
      <c r="D953" s="4"/>
      <c r="E953" s="16"/>
      <c r="F953" s="1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spans="1:30" ht="14.5">
      <c r="A954" s="4"/>
      <c r="B954" s="29"/>
      <c r="C954" s="35"/>
      <c r="D954" s="4"/>
      <c r="E954" s="16"/>
      <c r="F954" s="1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spans="1:30" ht="14.5">
      <c r="A955" s="4"/>
      <c r="B955" s="29"/>
      <c r="C955" s="35"/>
      <c r="D955" s="4"/>
      <c r="E955" s="16"/>
      <c r="F955" s="1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spans="1:30" ht="14.5">
      <c r="A956" s="4"/>
      <c r="B956" s="29"/>
      <c r="C956" s="35"/>
      <c r="D956" s="4"/>
      <c r="E956" s="16"/>
      <c r="F956" s="1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14.5">
      <c r="A957" s="4"/>
      <c r="B957" s="29"/>
      <c r="C957" s="35"/>
      <c r="D957" s="4"/>
      <c r="E957" s="16"/>
      <c r="F957" s="1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14.5">
      <c r="A958" s="4"/>
      <c r="B958" s="29"/>
      <c r="C958" s="35"/>
      <c r="D958" s="4"/>
      <c r="E958" s="16"/>
      <c r="F958" s="1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spans="1:30" ht="14.5">
      <c r="A959" s="4"/>
      <c r="B959" s="29"/>
      <c r="C959" s="35"/>
      <c r="D959" s="4"/>
      <c r="E959" s="16"/>
      <c r="F959" s="1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spans="1:30" ht="14.5">
      <c r="A960" s="4"/>
      <c r="B960" s="29"/>
      <c r="C960" s="35"/>
      <c r="D960" s="4"/>
      <c r="E960" s="16"/>
      <c r="F960" s="1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spans="1:30" ht="14.5">
      <c r="A961" s="4"/>
      <c r="B961" s="29"/>
      <c r="C961" s="35"/>
      <c r="D961" s="4"/>
      <c r="E961" s="16"/>
      <c r="F961" s="1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spans="1:30" ht="14.5">
      <c r="A962" s="4"/>
      <c r="B962" s="29"/>
      <c r="C962" s="35"/>
      <c r="D962" s="4"/>
      <c r="E962" s="16"/>
      <c r="F962" s="1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spans="1:30" ht="14.5">
      <c r="A963" s="4"/>
      <c r="B963" s="29"/>
      <c r="C963" s="35"/>
      <c r="D963" s="4"/>
      <c r="E963" s="16"/>
      <c r="F963" s="1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14.5">
      <c r="A964" s="4"/>
      <c r="B964" s="29"/>
      <c r="C964" s="35"/>
      <c r="D964" s="4"/>
      <c r="E964" s="16"/>
      <c r="F964" s="1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spans="1:30" ht="14.5">
      <c r="A965" s="4"/>
      <c r="B965" s="29"/>
      <c r="C965" s="35"/>
      <c r="D965" s="4"/>
      <c r="E965" s="16"/>
      <c r="F965" s="1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spans="1:30" ht="14.5">
      <c r="A966" s="4"/>
      <c r="B966" s="29"/>
      <c r="C966" s="35"/>
      <c r="D966" s="4"/>
      <c r="E966" s="16"/>
      <c r="F966" s="1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14.5">
      <c r="A967" s="4"/>
      <c r="B967" s="29"/>
      <c r="C967" s="35"/>
      <c r="D967" s="4"/>
      <c r="E967" s="16"/>
      <c r="F967" s="1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spans="1:30" ht="14.5">
      <c r="A968" s="4"/>
      <c r="B968" s="29"/>
      <c r="C968" s="35"/>
      <c r="D968" s="4"/>
      <c r="E968" s="16"/>
      <c r="F968" s="1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14.5">
      <c r="A969" s="4"/>
      <c r="B969" s="29"/>
      <c r="C969" s="35"/>
      <c r="D969" s="4"/>
      <c r="E969" s="16"/>
      <c r="F969" s="1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14.5">
      <c r="A970" s="4"/>
      <c r="B970" s="29"/>
      <c r="C970" s="35"/>
      <c r="D970" s="4"/>
      <c r="E970" s="16"/>
      <c r="F970" s="1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spans="1:30" ht="14.5">
      <c r="A971" s="4"/>
      <c r="B971" s="29"/>
      <c r="C971" s="35"/>
      <c r="D971" s="4"/>
      <c r="E971" s="16"/>
      <c r="F971" s="1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14.5">
      <c r="A972" s="4"/>
      <c r="B972" s="29"/>
      <c r="C972" s="35"/>
      <c r="D972" s="4"/>
      <c r="E972" s="16"/>
      <c r="F972" s="1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14.5">
      <c r="A973" s="4"/>
      <c r="B973" s="29"/>
      <c r="C973" s="35"/>
      <c r="D973" s="4"/>
      <c r="E973" s="16"/>
      <c r="F973" s="1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spans="1:30" ht="14.5">
      <c r="A974" s="4"/>
      <c r="B974" s="29"/>
      <c r="C974" s="35"/>
      <c r="D974" s="4"/>
      <c r="E974" s="16"/>
      <c r="F974" s="1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14.5">
      <c r="A975" s="4"/>
      <c r="B975" s="29"/>
      <c r="C975" s="35"/>
      <c r="D975" s="4"/>
      <c r="E975" s="16"/>
      <c r="F975" s="1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spans="1:30" ht="14.5">
      <c r="A976" s="4"/>
      <c r="B976" s="29"/>
      <c r="C976" s="35"/>
      <c r="D976" s="4"/>
      <c r="E976" s="16"/>
      <c r="F976" s="1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spans="1:30" ht="14.5">
      <c r="A977" s="4"/>
      <c r="B977" s="29"/>
      <c r="C977" s="35"/>
      <c r="D977" s="4"/>
      <c r="E977" s="16"/>
      <c r="F977" s="1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spans="1:30" ht="14.5">
      <c r="A978" s="4"/>
      <c r="B978" s="29"/>
      <c r="C978" s="35"/>
      <c r="D978" s="4"/>
      <c r="E978" s="16"/>
      <c r="F978" s="1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14.5">
      <c r="A979" s="4"/>
      <c r="B979" s="29"/>
      <c r="C979" s="35"/>
      <c r="D979" s="4"/>
      <c r="E979" s="16"/>
      <c r="F979" s="1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spans="1:30" ht="14.5">
      <c r="A980" s="4"/>
      <c r="B980" s="29"/>
      <c r="C980" s="35"/>
      <c r="D980" s="4"/>
      <c r="E980" s="16"/>
      <c r="F980" s="1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spans="1:30" ht="14.5">
      <c r="A981" s="4"/>
      <c r="B981" s="29"/>
      <c r="C981" s="35"/>
      <c r="D981" s="4"/>
      <c r="E981" s="16"/>
      <c r="F981" s="1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14.5">
      <c r="A982" s="4"/>
      <c r="B982" s="29"/>
      <c r="C982" s="35"/>
      <c r="D982" s="4"/>
      <c r="E982" s="16"/>
      <c r="F982" s="1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14.5">
      <c r="A983" s="4"/>
      <c r="B983" s="29"/>
      <c r="C983" s="35"/>
      <c r="D983" s="4"/>
      <c r="E983" s="16"/>
      <c r="F983" s="1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spans="1:30" ht="14.5">
      <c r="A984" s="4"/>
      <c r="B984" s="29"/>
      <c r="C984" s="35"/>
      <c r="D984" s="4"/>
      <c r="E984" s="16"/>
      <c r="F984" s="1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spans="1:30" ht="14.5">
      <c r="A985" s="4"/>
      <c r="B985" s="29"/>
      <c r="C985" s="35"/>
      <c r="D985" s="4"/>
      <c r="E985" s="16"/>
      <c r="F985" s="1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spans="1:30" ht="14.5">
      <c r="A986" s="4"/>
      <c r="B986" s="29"/>
      <c r="C986" s="35"/>
      <c r="D986" s="4"/>
      <c r="E986" s="16"/>
      <c r="F986" s="1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spans="1:30" ht="14.5">
      <c r="A987" s="4"/>
      <c r="B987" s="29"/>
      <c r="C987" s="35"/>
      <c r="D987" s="4"/>
      <c r="E987" s="16"/>
      <c r="F987" s="1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spans="1:30" ht="14.5">
      <c r="A988" s="4"/>
      <c r="B988" s="29"/>
      <c r="C988" s="35"/>
      <c r="D988" s="4"/>
      <c r="E988" s="16"/>
      <c r="F988" s="1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spans="1:30" ht="14.5">
      <c r="A989" s="4"/>
      <c r="B989" s="29"/>
      <c r="C989" s="35"/>
      <c r="D989" s="4"/>
      <c r="E989" s="16"/>
      <c r="F989" s="1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spans="1:30" ht="14.5">
      <c r="A990" s="4"/>
      <c r="B990" s="29"/>
      <c r="C990" s="35"/>
      <c r="D990" s="4"/>
      <c r="E990" s="16"/>
      <c r="F990" s="1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spans="1:30" ht="14.5">
      <c r="A991" s="4"/>
      <c r="B991" s="29"/>
      <c r="C991" s="35"/>
      <c r="D991" s="4"/>
      <c r="E991" s="16"/>
      <c r="F991" s="1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spans="1:30" ht="14.5">
      <c r="A992" s="4"/>
      <c r="B992" s="29"/>
      <c r="C992" s="35"/>
      <c r="D992" s="4"/>
      <c r="E992" s="16"/>
      <c r="F992" s="1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spans="1:30" ht="14.5">
      <c r="A993" s="4"/>
      <c r="B993" s="29"/>
      <c r="C993" s="35"/>
      <c r="D993" s="4"/>
      <c r="E993" s="16"/>
      <c r="F993" s="1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spans="1:30" ht="14.5">
      <c r="A994" s="4"/>
      <c r="B994" s="29"/>
      <c r="C994" s="35"/>
      <c r="D994" s="4"/>
      <c r="E994" s="16"/>
      <c r="F994" s="1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spans="1:30" ht="14.5">
      <c r="A995" s="4"/>
      <c r="B995" s="29"/>
      <c r="C995" s="35"/>
      <c r="D995" s="4"/>
      <c r="E995" s="16"/>
      <c r="F995" s="1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14.5">
      <c r="A996" s="4"/>
      <c r="B996" s="29"/>
      <c r="C996" s="35"/>
      <c r="D996" s="4"/>
      <c r="E996" s="16"/>
      <c r="F996" s="1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spans="1:30" ht="14.5">
      <c r="A997" s="4"/>
      <c r="B997" s="29"/>
      <c r="C997" s="35"/>
      <c r="D997" s="4"/>
      <c r="E997" s="16"/>
      <c r="F997" s="1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spans="1:30" ht="14.5">
      <c r="A998" s="4"/>
      <c r="B998" s="29"/>
      <c r="C998" s="35"/>
      <c r="D998" s="4"/>
      <c r="E998" s="16"/>
      <c r="F998" s="1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spans="1:30" ht="14.5">
      <c r="A999" s="4"/>
      <c r="B999" s="29"/>
      <c r="C999" s="35"/>
      <c r="D999" s="4"/>
      <c r="E999" s="16"/>
      <c r="F999" s="1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spans="1:30" ht="14.5">
      <c r="A1000" s="4"/>
      <c r="B1000" s="29"/>
      <c r="C1000" s="35"/>
      <c r="D1000" s="4"/>
      <c r="E1000" s="16"/>
      <c r="F1000" s="1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spans="1:30" ht="14.5">
      <c r="A1001" s="4"/>
      <c r="B1001" s="29"/>
      <c r="C1001" s="35"/>
      <c r="D1001" s="4"/>
      <c r="E1001" s="16"/>
      <c r="F1001" s="1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spans="1:30" ht="14.5">
      <c r="A1002" s="4"/>
      <c r="B1002" s="29"/>
      <c r="C1002" s="35"/>
      <c r="D1002" s="4"/>
      <c r="E1002" s="16"/>
      <c r="F1002" s="1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spans="1:30" ht="14.5">
      <c r="A1003" s="4"/>
      <c r="B1003" s="29"/>
      <c r="C1003" s="35"/>
      <c r="D1003" s="4"/>
      <c r="E1003" s="16"/>
      <c r="F1003" s="1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</sheetData>
  <mergeCells count="1">
    <mergeCell ref="E2:F2"/>
  </mergeCells>
  <hyperlinks>
    <hyperlink ref="K4" location="'February 23, 2026'!A1" display="February 23, 2026 PEOS" xr:uid="{00000000-0004-0000-0000-000000000000}"/>
    <hyperlink ref="K5" location="'February 26, 2026'!A1" display="February 26, 2026 PEOS" xr:uid="{00000000-0004-0000-0000-000001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86"/>
  <sheetViews>
    <sheetView showGridLines="0" workbookViewId="0"/>
  </sheetViews>
  <sheetFormatPr defaultColWidth="12.6328125" defaultRowHeight="15.75" customHeight="1"/>
  <cols>
    <col min="1" max="1" width="17.36328125" customWidth="1"/>
    <col min="3" max="3" width="24.26953125" customWidth="1"/>
  </cols>
  <sheetData>
    <row r="1" spans="1:7" ht="15.75" customHeight="1">
      <c r="A1" s="42" t="s">
        <v>28</v>
      </c>
      <c r="B1" s="42" t="s">
        <v>29</v>
      </c>
      <c r="C1" s="42" t="s">
        <v>30</v>
      </c>
      <c r="D1" s="42" t="s">
        <v>31</v>
      </c>
    </row>
    <row r="2" spans="1:7" ht="15.75" customHeight="1">
      <c r="A2" s="42" t="str">
        <f ca="1">IFERROR(__xludf.DUMMYFUNCTION("QUERY(VSTACK('February 23, 2026'!A2:E1001), ""Select * where Col1 is not null"")"),"Tricia Erika A. Roa")</f>
        <v>Tricia Erika A. Roa</v>
      </c>
      <c r="B2" s="42" t="str">
        <f ca="1">IFERROR(__xludf.DUMMYFUNCTION("""COMPUTED_VALUE"""),"F")</f>
        <v>F</v>
      </c>
      <c r="C2" s="42" t="str">
        <f ca="1">IFERROR(__xludf.DUMMYFUNCTION("""COMPUTED_VALUE"""),"Cabadbaran City")</f>
        <v>Cabadbaran City</v>
      </c>
      <c r="D2" s="42" t="str">
        <f ca="1">IFERROR(__xludf.DUMMYFUNCTION("""COMPUTED_VALUE"""),"BS-Crim")</f>
        <v>BS-Crim</v>
      </c>
      <c r="E2" s="42">
        <f ca="1">IFERROR(__xludf.DUMMYFUNCTION("""COMPUTED_VALUE"""),9657466015)</f>
        <v>9657466015</v>
      </c>
    </row>
    <row r="3" spans="1:7" ht="15.75" customHeight="1">
      <c r="A3" s="42" t="str">
        <f ca="1">IFERROR(__xludf.DUMMYFUNCTION("""COMPUTED_VALUE"""),"June Rey M. Ezaso")</f>
        <v>June Rey M. Ezaso</v>
      </c>
      <c r="B3" s="42" t="str">
        <f ca="1">IFERROR(__xludf.DUMMYFUNCTION("""COMPUTED_VALUE"""),"M")</f>
        <v>M</v>
      </c>
      <c r="C3" s="42" t="str">
        <f ca="1">IFERROR(__xludf.DUMMYFUNCTION("""COMPUTED_VALUE"""),"Victory, Tubay")</f>
        <v>Victory, Tubay</v>
      </c>
      <c r="D3" s="42" t="str">
        <f ca="1">IFERROR(__xludf.DUMMYFUNCTION("""COMPUTED_VALUE"""),"HIE OPTR")</f>
        <v>HIE OPTR</v>
      </c>
      <c r="E3" s="42">
        <f ca="1">IFERROR(__xludf.DUMMYFUNCTION("""COMPUTED_VALUE"""),9276659101)</f>
        <v>9276659101</v>
      </c>
      <c r="G3" s="43" t="s">
        <v>32</v>
      </c>
    </row>
    <row r="4" spans="1:7" ht="15.75" customHeight="1">
      <c r="A4" s="42" t="str">
        <f ca="1">IFERROR(__xludf.DUMMYFUNCTION("""COMPUTED_VALUE"""),"Pave Junly T. Elago")</f>
        <v>Pave Junly T. Elago</v>
      </c>
      <c r="B4" s="42" t="str">
        <f ca="1">IFERROR(__xludf.DUMMYFUNCTION("""COMPUTED_VALUE"""),"M")</f>
        <v>M</v>
      </c>
      <c r="C4" s="42" t="str">
        <f ca="1">IFERROR(__xludf.DUMMYFUNCTION("""COMPUTED_VALUE"""),"Comagascas, Cabadbaran City")</f>
        <v>Comagascas, Cabadbaran City</v>
      </c>
      <c r="D4" s="42" t="str">
        <f ca="1">IFERROR(__xludf.DUMMYFUNCTION("""COMPUTED_VALUE"""),"HIH OPTR")</f>
        <v>HIH OPTR</v>
      </c>
      <c r="E4" s="42">
        <f ca="1">IFERROR(__xludf.DUMMYFUNCTION("""COMPUTED_VALUE"""),9567043306)</f>
        <v>9567043306</v>
      </c>
    </row>
    <row r="5" spans="1:7" ht="15.75" customHeight="1">
      <c r="A5" s="42" t="str">
        <f ca="1">IFERROR(__xludf.DUMMYFUNCTION("""COMPUTED_VALUE"""),"Apolinar C. Bongcagil")</f>
        <v>Apolinar C. Bongcagil</v>
      </c>
      <c r="B5" s="42" t="str">
        <f ca="1">IFERROR(__xludf.DUMMYFUNCTION("""COMPUTED_VALUE"""),"M")</f>
        <v>M</v>
      </c>
      <c r="C5" s="42" t="str">
        <f ca="1">IFERROR(__xludf.DUMMYFUNCTION("""COMPUTED_VALUE"""),"RTR")</f>
        <v>RTR</v>
      </c>
      <c r="D5" s="42" t="str">
        <f ca="1">IFERROR(__xludf.DUMMYFUNCTION("""COMPUTED_VALUE"""),"BS-IT")</f>
        <v>BS-IT</v>
      </c>
      <c r="E5" s="42">
        <f ca="1">IFERROR(__xludf.DUMMYFUNCTION("""COMPUTED_VALUE"""),9511987466)</f>
        <v>9511987466</v>
      </c>
    </row>
    <row r="6" spans="1:7" ht="15.75" customHeight="1">
      <c r="A6" s="42" t="str">
        <f ca="1">IFERROR(__xludf.DUMMYFUNCTION("""COMPUTED_VALUE"""),"Christian John S. Albarida")</f>
        <v>Christian John S. Albarida</v>
      </c>
      <c r="B6" s="42" t="str">
        <f ca="1">IFERROR(__xludf.DUMMYFUNCTION("""COMPUTED_VALUE"""),"M")</f>
        <v>M</v>
      </c>
      <c r="C6" s="42" t="str">
        <f ca="1">IFERROR(__xludf.DUMMYFUNCTION("""COMPUTED_VALUE"""),"Tiniwisan, Butuan City")</f>
        <v>Tiniwisan, Butuan City</v>
      </c>
      <c r="D6" s="42" t="str">
        <f ca="1">IFERROR(__xludf.DUMMYFUNCTION("""COMPUTED_VALUE"""),"BS-Forestry")</f>
        <v>BS-Forestry</v>
      </c>
      <c r="E6" s="42">
        <f ca="1">IFERROR(__xludf.DUMMYFUNCTION("""COMPUTED_VALUE"""),9126595772)</f>
        <v>9126595772</v>
      </c>
    </row>
    <row r="7" spans="1:7" ht="15.75" customHeight="1">
      <c r="A7" s="42" t="str">
        <f ca="1">IFERROR(__xludf.DUMMYFUNCTION("""COMPUTED_VALUE"""),"Jubert P. Morillon")</f>
        <v>Jubert P. Morillon</v>
      </c>
      <c r="B7" s="42" t="str">
        <f ca="1">IFERROR(__xludf.DUMMYFUNCTION("""COMPUTED_VALUE"""),"M")</f>
        <v>M</v>
      </c>
      <c r="C7" s="42" t="str">
        <f ca="1">IFERROR(__xludf.DUMMYFUNCTION("""COMPUTED_VALUE"""),"Sanghan, Cabadbaran City")</f>
        <v>Sanghan, Cabadbaran City</v>
      </c>
      <c r="D7" s="42" t="str">
        <f ca="1">IFERROR(__xludf.DUMMYFUNCTION("""COMPUTED_VALUE"""),"Driver")</f>
        <v>Driver</v>
      </c>
      <c r="E7" s="42">
        <f ca="1">IFERROR(__xludf.DUMMYFUNCTION("""COMPUTED_VALUE"""),9453453465)</f>
        <v>9453453465</v>
      </c>
    </row>
    <row r="8" spans="1:7" ht="15.75" customHeight="1">
      <c r="A8" s="42" t="str">
        <f ca="1">IFERROR(__xludf.DUMMYFUNCTION("""COMPUTED_VALUE"""),"Jenny Rose G. Vargas")</f>
        <v>Jenny Rose G. Vargas</v>
      </c>
      <c r="B8" s="42" t="str">
        <f ca="1">IFERROR(__xludf.DUMMYFUNCTION("""COMPUTED_VALUE"""),"F")</f>
        <v>F</v>
      </c>
      <c r="C8" s="42" t="str">
        <f ca="1">IFERROR(__xludf.DUMMYFUNCTION("""COMPUTED_VALUE"""),"San-Isidro, Santiago")</f>
        <v>San-Isidro, Santiago</v>
      </c>
      <c r="D8" s="42" t="str">
        <f ca="1">IFERROR(__xludf.DUMMYFUNCTION("""COMPUTED_VALUE"""),"BTLED-AFA")</f>
        <v>BTLED-AFA</v>
      </c>
      <c r="E8" s="42">
        <f ca="1">IFERROR(__xludf.DUMMYFUNCTION("""COMPUTED_VALUE"""),9510539298)</f>
        <v>9510539298</v>
      </c>
    </row>
    <row r="9" spans="1:7" ht="15.75" customHeight="1">
      <c r="A9" s="42" t="str">
        <f ca="1">IFERROR(__xludf.DUMMYFUNCTION("""COMPUTED_VALUE"""),"Darwin M. Donoriano")</f>
        <v>Darwin M. Donoriano</v>
      </c>
      <c r="B9" s="42" t="str">
        <f ca="1">IFERROR(__xludf.DUMMYFUNCTION("""COMPUTED_VALUE"""),"M")</f>
        <v>M</v>
      </c>
      <c r="C9" s="42" t="str">
        <f ca="1">IFERROR(__xludf.DUMMYFUNCTION("""COMPUTED_VALUE"""),"Butuan City")</f>
        <v>Butuan City</v>
      </c>
      <c r="D9" s="42"/>
      <c r="E9" s="42">
        <f ca="1">IFERROR(__xludf.DUMMYFUNCTION("""COMPUTED_VALUE"""),9636374544)</f>
        <v>9636374544</v>
      </c>
    </row>
    <row r="10" spans="1:7" ht="15.75" customHeight="1">
      <c r="A10" s="42" t="str">
        <f ca="1">IFERROR(__xludf.DUMMYFUNCTION("""COMPUTED_VALUE"""),"Audreyll Bituin")</f>
        <v>Audreyll Bituin</v>
      </c>
      <c r="B10" s="42" t="str">
        <f ca="1">IFERROR(__xludf.DUMMYFUNCTION("""COMPUTED_VALUE"""),"F")</f>
        <v>F</v>
      </c>
      <c r="C10" s="42" t="str">
        <f ca="1">IFERROR(__xludf.DUMMYFUNCTION("""COMPUTED_VALUE"""),"Butuan City")</f>
        <v>Butuan City</v>
      </c>
      <c r="D10" s="42" t="str">
        <f ca="1">IFERROR(__xludf.DUMMYFUNCTION("""COMPUTED_VALUE"""),"BS-IT")</f>
        <v>BS-IT</v>
      </c>
      <c r="E10" s="42">
        <f ca="1">IFERROR(__xludf.DUMMYFUNCTION("""COMPUTED_VALUE"""),9912273442)</f>
        <v>9912273442</v>
      </c>
    </row>
    <row r="11" spans="1:7" ht="15.75" customHeight="1">
      <c r="A11" s="42" t="str">
        <f ca="1">IFERROR(__xludf.DUMMYFUNCTION("""COMPUTED_VALUE"""),"Cyrus Morales")</f>
        <v>Cyrus Morales</v>
      </c>
      <c r="B11" s="42" t="str">
        <f ca="1">IFERROR(__xludf.DUMMYFUNCTION("""COMPUTED_VALUE"""),"M")</f>
        <v>M</v>
      </c>
      <c r="C11" s="42" t="str">
        <f ca="1">IFERROR(__xludf.DUMMYFUNCTION("""COMPUTED_VALUE"""),"Tubay")</f>
        <v>Tubay</v>
      </c>
      <c r="D11" s="42" t="str">
        <f ca="1">IFERROR(__xludf.DUMMYFUNCTION("""COMPUTED_VALUE"""),"BS-Crim")</f>
        <v>BS-Crim</v>
      </c>
      <c r="E11" s="42">
        <f ca="1">IFERROR(__xludf.DUMMYFUNCTION("""COMPUTED_VALUE"""),9301141738)</f>
        <v>9301141738</v>
      </c>
    </row>
    <row r="12" spans="1:7" ht="15.75" customHeight="1">
      <c r="A12" s="42" t="str">
        <f ca="1">IFERROR(__xludf.DUMMYFUNCTION("""COMPUTED_VALUE"""),"Rowelyn S. Limitares")</f>
        <v>Rowelyn S. Limitares</v>
      </c>
      <c r="B12" s="42" t="str">
        <f ca="1">IFERROR(__xludf.DUMMYFUNCTION("""COMPUTED_VALUE"""),"F")</f>
        <v>F</v>
      </c>
      <c r="C12" s="42" t="str">
        <f ca="1">IFERROR(__xludf.DUMMYFUNCTION("""COMPUTED_VALUE"""),"Cabadbaran City")</f>
        <v>Cabadbaran City</v>
      </c>
      <c r="D12" s="42" t="str">
        <f ca="1">IFERROR(__xludf.DUMMYFUNCTION("""COMPUTED_VALUE"""),"PEET")</f>
        <v>PEET</v>
      </c>
      <c r="E12" s="42">
        <f ca="1">IFERROR(__xludf.DUMMYFUNCTION("""COMPUTED_VALUE"""),9093750358)</f>
        <v>9093750358</v>
      </c>
    </row>
    <row r="13" spans="1:7" ht="15.75" customHeight="1">
      <c r="A13" s="42" t="str">
        <f ca="1">IFERROR(__xludf.DUMMYFUNCTION("""COMPUTED_VALUE"""),"Jerald M. Morden")</f>
        <v>Jerald M. Morden</v>
      </c>
      <c r="B13" s="42" t="str">
        <f ca="1">IFERROR(__xludf.DUMMYFUNCTION("""COMPUTED_VALUE"""),"M")</f>
        <v>M</v>
      </c>
      <c r="C13" s="42" t="str">
        <f ca="1">IFERROR(__xludf.DUMMYFUNCTION("""COMPUTED_VALUE"""),"Jabonga")</f>
        <v>Jabonga</v>
      </c>
      <c r="D13" s="42" t="str">
        <f ca="1">IFERROR(__xludf.DUMMYFUNCTION("""COMPUTED_VALUE"""),"BS-Crim")</f>
        <v>BS-Crim</v>
      </c>
      <c r="E13" s="42">
        <f ca="1">IFERROR(__xludf.DUMMYFUNCTION("""COMPUTED_VALUE"""),9671325951)</f>
        <v>9671325951</v>
      </c>
    </row>
    <row r="14" spans="1:7" ht="15.75" customHeight="1">
      <c r="A14" s="42" t="str">
        <f ca="1">IFERROR(__xludf.DUMMYFUNCTION("""COMPUTED_VALUE"""),"Conrado V. Cagased")</f>
        <v>Conrado V. Cagased</v>
      </c>
      <c r="B14" s="42" t="str">
        <f ca="1">IFERROR(__xludf.DUMMYFUNCTION("""COMPUTED_VALUE"""),"M")</f>
        <v>M</v>
      </c>
      <c r="C14" s="42" t="str">
        <f ca="1">IFERROR(__xludf.DUMMYFUNCTION("""COMPUTED_VALUE"""),"Curva, Santiago")</f>
        <v>Curva, Santiago</v>
      </c>
      <c r="D14" s="42"/>
      <c r="E14" s="42"/>
    </row>
    <row r="15" spans="1:7" ht="15.75" customHeight="1">
      <c r="A15" s="42" t="str">
        <f ca="1">IFERROR(__xludf.DUMMYFUNCTION("""COMPUTED_VALUE"""),"Alpha Angelita P. Hulbayan")</f>
        <v>Alpha Angelita P. Hulbayan</v>
      </c>
      <c r="B15" s="42" t="str">
        <f ca="1">IFERROR(__xludf.DUMMYFUNCTION("""COMPUTED_VALUE"""),"F")</f>
        <v>F</v>
      </c>
      <c r="C15" s="42" t="str">
        <f ca="1">IFERROR(__xludf.DUMMYFUNCTION("""COMPUTED_VALUE"""),"Bayugan City")</f>
        <v>Bayugan City</v>
      </c>
      <c r="D15" s="42"/>
      <c r="E15" s="42">
        <f ca="1">IFERROR(__xludf.DUMMYFUNCTION("""COMPUTED_VALUE"""),9975088133)</f>
        <v>9975088133</v>
      </c>
    </row>
    <row r="16" spans="1:7" ht="15.75" customHeight="1">
      <c r="A16" s="42" t="str">
        <f ca="1">IFERROR(__xludf.DUMMYFUNCTION("""COMPUTED_VALUE"""),"Judy Rainar Clemente")</f>
        <v>Judy Rainar Clemente</v>
      </c>
      <c r="B16" s="42" t="str">
        <f ca="1">IFERROR(__xludf.DUMMYFUNCTION("""COMPUTED_VALUE"""),"M")</f>
        <v>M</v>
      </c>
      <c r="C16" s="42" t="str">
        <f ca="1">IFERROR(__xludf.DUMMYFUNCTION("""COMPUTED_VALUE"""),"Kauswagan, Cabadbaran City")</f>
        <v>Kauswagan, Cabadbaran City</v>
      </c>
      <c r="D16" s="42" t="str">
        <f ca="1">IFERROR(__xludf.DUMMYFUNCTION("""COMPUTED_VALUE"""),"Driver")</f>
        <v>Driver</v>
      </c>
      <c r="E16" s="42">
        <f ca="1">IFERROR(__xludf.DUMMYFUNCTION("""COMPUTED_VALUE"""),9121551889)</f>
        <v>9121551889</v>
      </c>
    </row>
    <row r="17" spans="1:5" ht="15.75" customHeight="1">
      <c r="A17" s="42" t="str">
        <f ca="1">IFERROR(__xludf.DUMMYFUNCTION("""COMPUTED_VALUE"""),"Felix B. Vargas Jr.")</f>
        <v>Felix B. Vargas Jr.</v>
      </c>
      <c r="B17" s="42" t="str">
        <f ca="1">IFERROR(__xludf.DUMMYFUNCTION("""COMPUTED_VALUE"""),"M")</f>
        <v>M</v>
      </c>
      <c r="C17" s="42" t="str">
        <f ca="1">IFERROR(__xludf.DUMMYFUNCTION("""COMPUTED_VALUE"""),"Caloc-An, Magallanes")</f>
        <v>Caloc-An, Magallanes</v>
      </c>
      <c r="D17" s="42" t="str">
        <f ca="1">IFERROR(__xludf.DUMMYFUNCTION("""COMPUTED_VALUE"""),"Bagger")</f>
        <v>Bagger</v>
      </c>
      <c r="E17" s="42">
        <f ca="1">IFERROR(__xludf.DUMMYFUNCTION("""COMPUTED_VALUE"""),9776614164)</f>
        <v>9776614164</v>
      </c>
    </row>
    <row r="18" spans="1:5" ht="15.75" customHeight="1">
      <c r="A18" s="42" t="str">
        <f ca="1">IFERROR(__xludf.DUMMYFUNCTION("""COMPUTED_VALUE"""),"Marievic P. Tatoy")</f>
        <v>Marievic P. Tatoy</v>
      </c>
      <c r="B18" s="42" t="str">
        <f ca="1">IFERROR(__xludf.DUMMYFUNCTION("""COMPUTED_VALUE"""),"F")</f>
        <v>F</v>
      </c>
      <c r="C18" s="42" t="str">
        <f ca="1">IFERROR(__xludf.DUMMYFUNCTION("""COMPUTED_VALUE"""),"RTR")</f>
        <v>RTR</v>
      </c>
      <c r="D18" s="42" t="str">
        <f ca="1">IFERROR(__xludf.DUMMYFUNCTION("""COMPUTED_VALUE"""),"Sales Lady")</f>
        <v>Sales Lady</v>
      </c>
      <c r="E18" s="42">
        <f ca="1">IFERROR(__xludf.DUMMYFUNCTION("""COMPUTED_VALUE"""),9949930985)</f>
        <v>9949930985</v>
      </c>
    </row>
    <row r="19" spans="1:5" ht="15.75" customHeight="1">
      <c r="A19" s="42" t="str">
        <f ca="1">IFERROR(__xludf.DUMMYFUNCTION("""COMPUTED_VALUE"""),"Marissa C. Baguidan")</f>
        <v>Marissa C. Baguidan</v>
      </c>
      <c r="B19" s="42" t="str">
        <f ca="1">IFERROR(__xludf.DUMMYFUNCTION("""COMPUTED_VALUE"""),"F")</f>
        <v>F</v>
      </c>
      <c r="C19" s="42" t="str">
        <f ca="1">IFERROR(__xludf.DUMMYFUNCTION("""COMPUTED_VALUE"""),"Baobaoan, Butuan City")</f>
        <v>Baobaoan, Butuan City</v>
      </c>
      <c r="D19" s="42" t="str">
        <f ca="1">IFERROR(__xludf.DUMMYFUNCTION("""COMPUTED_VALUE"""),"Cashier/Checker")</f>
        <v>Cashier/Checker</v>
      </c>
      <c r="E19" s="42">
        <f ca="1">IFERROR(__xludf.DUMMYFUNCTION("""COMPUTED_VALUE"""),9075690727)</f>
        <v>9075690727</v>
      </c>
    </row>
    <row r="20" spans="1:5" ht="15.75" customHeight="1">
      <c r="A20" s="42" t="str">
        <f ca="1">IFERROR(__xludf.DUMMYFUNCTION("""COMPUTED_VALUE"""),"Anna Marie G. Pahit")</f>
        <v>Anna Marie G. Pahit</v>
      </c>
      <c r="B20" s="42" t="str">
        <f ca="1">IFERROR(__xludf.DUMMYFUNCTION("""COMPUTED_VALUE"""),"F")</f>
        <v>F</v>
      </c>
      <c r="C20" s="42" t="str">
        <f ca="1">IFERROR(__xludf.DUMMYFUNCTION("""COMPUTED_VALUE"""),"Katugasan, Cabadbaran City")</f>
        <v>Katugasan, Cabadbaran City</v>
      </c>
      <c r="D20" s="42" t="str">
        <f ca="1">IFERROR(__xludf.DUMMYFUNCTION("""COMPUTED_VALUE"""),"BSRT")</f>
        <v>BSRT</v>
      </c>
      <c r="E20" s="42">
        <f ca="1">IFERROR(__xludf.DUMMYFUNCTION("""COMPUTED_VALUE"""),9995047780)</f>
        <v>9995047780</v>
      </c>
    </row>
    <row r="21" spans="1:5" ht="15.75" customHeight="1">
      <c r="A21" s="42" t="str">
        <f ca="1">IFERROR(__xludf.DUMMYFUNCTION("""COMPUTED_VALUE"""),"Ian Carl Pescadera")</f>
        <v>Ian Carl Pescadera</v>
      </c>
      <c r="B21" s="42" t="str">
        <f ca="1">IFERROR(__xludf.DUMMYFUNCTION("""COMPUTED_VALUE"""),"M")</f>
        <v>M</v>
      </c>
      <c r="C21" s="42" t="str">
        <f ca="1">IFERROR(__xludf.DUMMYFUNCTION("""COMPUTED_VALUE"""),"RTR")</f>
        <v>RTR</v>
      </c>
      <c r="D21" s="42"/>
      <c r="E21" s="42">
        <f ca="1">IFERROR(__xludf.DUMMYFUNCTION("""COMPUTED_VALUE"""),9093695611)</f>
        <v>9093695611</v>
      </c>
    </row>
    <row r="22" spans="1:5" ht="15.75" customHeight="1">
      <c r="A22" s="42" t="str">
        <f ca="1">IFERROR(__xludf.DUMMYFUNCTION("""COMPUTED_VALUE"""),"Mary Joy Millamina")</f>
        <v>Mary Joy Millamina</v>
      </c>
      <c r="B22" s="42" t="str">
        <f ca="1">IFERROR(__xludf.DUMMYFUNCTION("""COMPUTED_VALUE"""),"F")</f>
        <v>F</v>
      </c>
      <c r="C22" s="42" t="str">
        <f ca="1">IFERROR(__xludf.DUMMYFUNCTION("""COMPUTED_VALUE"""),"Sto. Niño, Magallanes")</f>
        <v>Sto. Niño, Magallanes</v>
      </c>
      <c r="D22" s="42" t="str">
        <f ca="1">IFERROR(__xludf.DUMMYFUNCTION("""COMPUTED_VALUE"""),"Sales Lady")</f>
        <v>Sales Lady</v>
      </c>
      <c r="E22" s="42">
        <f ca="1">IFERROR(__xludf.DUMMYFUNCTION("""COMPUTED_VALUE"""),9272716685)</f>
        <v>9272716685</v>
      </c>
    </row>
    <row r="23" spans="1:5" ht="15.75" customHeight="1">
      <c r="A23" s="42" t="str">
        <f ca="1">IFERROR(__xludf.DUMMYFUNCTION("""COMPUTED_VALUE"""),"Ike O. Panchito")</f>
        <v>Ike O. Panchito</v>
      </c>
      <c r="B23" s="42" t="str">
        <f ca="1">IFERROR(__xludf.DUMMYFUNCTION("""COMPUTED_VALUE"""),"M")</f>
        <v>M</v>
      </c>
      <c r="C23" s="42" t="str">
        <f ca="1">IFERROR(__xludf.DUMMYFUNCTION("""COMPUTED_VALUE"""),"Jagupit, Santiago")</f>
        <v>Jagupit, Santiago</v>
      </c>
      <c r="D23" s="42" t="str">
        <f ca="1">IFERROR(__xludf.DUMMYFUNCTION("""COMPUTED_VALUE"""),"Clerk ")</f>
        <v xml:space="preserve">Clerk </v>
      </c>
      <c r="E23" s="42">
        <f ca="1">IFERROR(__xludf.DUMMYFUNCTION("""COMPUTED_VALUE"""),9704442306)</f>
        <v>9704442306</v>
      </c>
    </row>
    <row r="24" spans="1:5" ht="12.5">
      <c r="A24" s="42" t="str">
        <f ca="1">IFERROR(__xludf.DUMMYFUNCTION("""COMPUTED_VALUE"""),"Rysa Shen Alcantara")</f>
        <v>Rysa Shen Alcantara</v>
      </c>
      <c r="B24" s="42" t="str">
        <f ca="1">IFERROR(__xludf.DUMMYFUNCTION("""COMPUTED_VALUE"""),"F")</f>
        <v>F</v>
      </c>
      <c r="C24" s="42" t="str">
        <f ca="1">IFERROR(__xludf.DUMMYFUNCTION("""COMPUTED_VALUE"""),"Sto. Niño, Magallanes")</f>
        <v>Sto. Niño, Magallanes</v>
      </c>
      <c r="D24" s="42" t="str">
        <f ca="1">IFERROR(__xludf.DUMMYFUNCTION("""COMPUTED_VALUE"""),"Clerk ")</f>
        <v xml:space="preserve">Clerk </v>
      </c>
      <c r="E24" s="42">
        <f ca="1">IFERROR(__xludf.DUMMYFUNCTION("""COMPUTED_VALUE"""),9562375446)</f>
        <v>9562375446</v>
      </c>
    </row>
    <row r="25" spans="1:5" ht="12.5">
      <c r="A25" s="42" t="str">
        <f ca="1">IFERROR(__xludf.DUMMYFUNCTION("""COMPUTED_VALUE"""),"Arlyn O. Adanza")</f>
        <v>Arlyn O. Adanza</v>
      </c>
      <c r="B25" s="42" t="str">
        <f ca="1">IFERROR(__xludf.DUMMYFUNCTION("""COMPUTED_VALUE"""),"F")</f>
        <v>F</v>
      </c>
      <c r="C25" s="42" t="str">
        <f ca="1">IFERROR(__xludf.DUMMYFUNCTION("""COMPUTED_VALUE"""),"Cabinet, Cabadaran City")</f>
        <v>Cabinet, Cabadaran City</v>
      </c>
      <c r="D25" s="42" t="str">
        <f ca="1">IFERROR(__xludf.DUMMYFUNCTION("""COMPUTED_VALUE"""),"BFBS")</f>
        <v>BFBS</v>
      </c>
      <c r="E25" s="42">
        <f ca="1">IFERROR(__xludf.DUMMYFUNCTION("""COMPUTED_VALUE"""),9811537703)</f>
        <v>9811537703</v>
      </c>
    </row>
    <row r="26" spans="1:5" ht="12.5">
      <c r="A26" s="42" t="str">
        <f ca="1">IFERROR(__xludf.DUMMYFUNCTION("""COMPUTED_VALUE"""),"Ernesto O. Galicia")</f>
        <v>Ernesto O. Galicia</v>
      </c>
      <c r="B26" s="42" t="str">
        <f ca="1">IFERROR(__xludf.DUMMYFUNCTION("""COMPUTED_VALUE"""),"M")</f>
        <v>M</v>
      </c>
      <c r="C26" s="42" t="str">
        <f ca="1">IFERROR(__xludf.DUMMYFUNCTION("""COMPUTED_VALUE"""),"Cabinet, Cabadaran City")</f>
        <v>Cabinet, Cabadaran City</v>
      </c>
      <c r="D26" s="42"/>
      <c r="E26" s="42"/>
    </row>
    <row r="27" spans="1:5" ht="12.5">
      <c r="A27" s="42" t="str">
        <f ca="1">IFERROR(__xludf.DUMMYFUNCTION("""COMPUTED_VALUE"""),"Gescultura Kaven")</f>
        <v>Gescultura Kaven</v>
      </c>
      <c r="B27" s="42" t="str">
        <f ca="1">IFERROR(__xludf.DUMMYFUNCTION("""COMPUTED_VALUE"""),"M")</f>
        <v>M</v>
      </c>
      <c r="C27" s="42" t="str">
        <f ca="1">IFERROR(__xludf.DUMMYFUNCTION("""COMPUTED_VALUE"""),"Bayabas, Cabadbaran City")</f>
        <v>Bayabas, Cabadbaran City</v>
      </c>
      <c r="D27" s="42" t="str">
        <f ca="1">IFERROR(__xludf.DUMMYFUNCTION("""COMPUTED_VALUE"""),"Helper")</f>
        <v>Helper</v>
      </c>
      <c r="E27" s="42">
        <f ca="1">IFERROR(__xludf.DUMMYFUNCTION("""COMPUTED_VALUE"""),9273796128)</f>
        <v>9273796128</v>
      </c>
    </row>
    <row r="28" spans="1:5" ht="12.5">
      <c r="A28" s="42" t="str">
        <f ca="1">IFERROR(__xludf.DUMMYFUNCTION("""COMPUTED_VALUE"""),"Rowell Diwata")</f>
        <v>Rowell Diwata</v>
      </c>
      <c r="B28" s="42" t="str">
        <f ca="1">IFERROR(__xludf.DUMMYFUNCTION("""COMPUTED_VALUE"""),"M")</f>
        <v>M</v>
      </c>
      <c r="C28" s="42" t="str">
        <f ca="1">IFERROR(__xludf.DUMMYFUNCTION("""COMPUTED_VALUE"""),"Bayabas, Cabadbaran City")</f>
        <v>Bayabas, Cabadbaran City</v>
      </c>
      <c r="D28" s="42"/>
      <c r="E28" s="42">
        <f ca="1">IFERROR(__xludf.DUMMYFUNCTION("""COMPUTED_VALUE"""),9535728448)</f>
        <v>9535728448</v>
      </c>
    </row>
    <row r="29" spans="1:5" ht="12.5">
      <c r="A29" s="42" t="str">
        <f ca="1">IFERROR(__xludf.DUMMYFUNCTION("""COMPUTED_VALUE"""),"Regine Loy")</f>
        <v>Regine Loy</v>
      </c>
      <c r="B29" s="42" t="str">
        <f ca="1">IFERROR(__xludf.DUMMYFUNCTION("""COMPUTED_VALUE"""),"M")</f>
        <v>M</v>
      </c>
      <c r="C29" s="42" t="str">
        <f ca="1">IFERROR(__xludf.DUMMYFUNCTION("""COMPUTED_VALUE"""),"Dal-as, Cabadbaran City")</f>
        <v>Dal-as, Cabadbaran City</v>
      </c>
      <c r="D29" s="42"/>
      <c r="E29" s="42">
        <f ca="1">IFERROR(__xludf.DUMMYFUNCTION("""COMPUTED_VALUE"""),9125608033)</f>
        <v>9125608033</v>
      </c>
    </row>
    <row r="30" spans="1:5" ht="12.5">
      <c r="A30" s="42" t="str">
        <f ca="1">IFERROR(__xludf.DUMMYFUNCTION("""COMPUTED_VALUE"""),"Gupit Jeremy")</f>
        <v>Gupit Jeremy</v>
      </c>
      <c r="B30" s="42" t="str">
        <f ca="1">IFERROR(__xludf.DUMMYFUNCTION("""COMPUTED_VALUE"""),"M")</f>
        <v>M</v>
      </c>
      <c r="C30" s="42" t="str">
        <f ca="1">IFERROR(__xludf.DUMMYFUNCTION("""COMPUTED_VALUE"""),"Jagupit, Santiago")</f>
        <v>Jagupit, Santiago</v>
      </c>
      <c r="D30" s="42"/>
      <c r="E30" s="42">
        <f ca="1">IFERROR(__xludf.DUMMYFUNCTION("""COMPUTED_VALUE"""),9776617811)</f>
        <v>9776617811</v>
      </c>
    </row>
    <row r="31" spans="1:5" ht="12.5">
      <c r="A31" s="42" t="str">
        <f ca="1">IFERROR(__xludf.DUMMYFUNCTION("""COMPUTED_VALUE"""),"Charemil Sajorda")</f>
        <v>Charemil Sajorda</v>
      </c>
      <c r="B31" s="42" t="str">
        <f ca="1">IFERROR(__xludf.DUMMYFUNCTION("""COMPUTED_VALUE"""),"F")</f>
        <v>F</v>
      </c>
      <c r="C31" s="42" t="str">
        <f ca="1">IFERROR(__xludf.DUMMYFUNCTION("""COMPUTED_VALUE"""),"Mabuhion, Cabadbaran City")</f>
        <v>Mabuhion, Cabadbaran City</v>
      </c>
      <c r="D31" s="42"/>
      <c r="E31" s="42">
        <f ca="1">IFERROR(__xludf.DUMMYFUNCTION("""COMPUTED_VALUE"""),9537090957)</f>
        <v>9537090957</v>
      </c>
    </row>
    <row r="32" spans="1:5" ht="12.5">
      <c r="A32" s="42" t="str">
        <f ca="1">IFERROR(__xludf.DUMMYFUNCTION("""COMPUTED_VALUE"""),"Christine Daione T. Gamale")</f>
        <v>Christine Daione T. Gamale</v>
      </c>
      <c r="B32" s="42" t="str">
        <f ca="1">IFERROR(__xludf.DUMMYFUNCTION("""COMPUTED_VALUE"""),"F")</f>
        <v>F</v>
      </c>
      <c r="C32" s="42" t="str">
        <f ca="1">IFERROR(__xludf.DUMMYFUNCTION("""COMPUTED_VALUE"""),"Cabinet, Cabadbaran City")</f>
        <v>Cabinet, Cabadbaran City</v>
      </c>
      <c r="D32" s="42"/>
      <c r="E32" s="42">
        <f ca="1">IFERROR(__xludf.DUMMYFUNCTION("""COMPUTED_VALUE"""),9121555514)</f>
        <v>9121555514</v>
      </c>
    </row>
    <row r="33" spans="1:5" ht="12.5">
      <c r="A33" s="42" t="str">
        <f ca="1">IFERROR(__xludf.DUMMYFUNCTION("""COMPUTED_VALUE"""),"Jess O. Alizio")</f>
        <v>Jess O. Alizio</v>
      </c>
      <c r="B33" s="42" t="str">
        <f ca="1">IFERROR(__xludf.DUMMYFUNCTION("""COMPUTED_VALUE"""),"M")</f>
        <v>M</v>
      </c>
      <c r="C33" s="42" t="str">
        <f ca="1">IFERROR(__xludf.DUMMYFUNCTION("""COMPUTED_VALUE"""),"Tolosa, Cabadbaran City")</f>
        <v>Tolosa, Cabadbaran City</v>
      </c>
      <c r="D33" s="42"/>
      <c r="E33" s="42">
        <f ca="1">IFERROR(__xludf.DUMMYFUNCTION("""COMPUTED_VALUE"""),9855173966)</f>
        <v>9855173966</v>
      </c>
    </row>
    <row r="34" spans="1:5" ht="12.5">
      <c r="A34" s="42" t="str">
        <f ca="1">IFERROR(__xludf.DUMMYFUNCTION("""COMPUTED_VALUE"""),"Jumelce Toraya")</f>
        <v>Jumelce Toraya</v>
      </c>
      <c r="B34" s="42" t="str">
        <f ca="1">IFERROR(__xludf.DUMMYFUNCTION("""COMPUTED_VALUE"""),"M")</f>
        <v>M</v>
      </c>
      <c r="C34" s="42" t="str">
        <f ca="1">IFERROR(__xludf.DUMMYFUNCTION("""COMPUTED_VALUE"""),"Tolosa, Cabadbaran City")</f>
        <v>Tolosa, Cabadbaran City</v>
      </c>
      <c r="D34" s="42"/>
      <c r="E34" s="42">
        <f ca="1">IFERROR(__xludf.DUMMYFUNCTION("""COMPUTED_VALUE"""),9909898245)</f>
        <v>9909898245</v>
      </c>
    </row>
    <row r="35" spans="1:5" ht="12.5">
      <c r="A35" s="42" t="str">
        <f ca="1">IFERROR(__xludf.DUMMYFUNCTION("""COMPUTED_VALUE"""),"Luige B. Sumibcay")</f>
        <v>Luige B. Sumibcay</v>
      </c>
      <c r="B35" s="42" t="str">
        <f ca="1">IFERROR(__xludf.DUMMYFUNCTION("""COMPUTED_VALUE"""),"F")</f>
        <v>F</v>
      </c>
      <c r="C35" s="42" t="str">
        <f ca="1">IFERROR(__xludf.DUMMYFUNCTION("""COMPUTED_VALUE"""),"La Union, Cabadbaran City")</f>
        <v>La Union, Cabadbaran City</v>
      </c>
      <c r="D35" s="42"/>
      <c r="E35" s="42">
        <f ca="1">IFERROR(__xludf.DUMMYFUNCTION("""COMPUTED_VALUE"""),9655741275)</f>
        <v>9655741275</v>
      </c>
    </row>
    <row r="36" spans="1:5" ht="12.5">
      <c r="A36" s="42" t="str">
        <f ca="1">IFERROR(__xludf.DUMMYFUNCTION("""COMPUTED_VALUE"""),"Ronabel G. Bonggo")</f>
        <v>Ronabel G. Bonggo</v>
      </c>
      <c r="B36" s="42" t="str">
        <f ca="1">IFERROR(__xludf.DUMMYFUNCTION("""COMPUTED_VALUE"""),"F")</f>
        <v>F</v>
      </c>
      <c r="C36" s="42" t="str">
        <f ca="1">IFERROR(__xludf.DUMMYFUNCTION("""COMPUTED_VALUE"""),"Katugasan, Cabadbaran City")</f>
        <v>Katugasan, Cabadbaran City</v>
      </c>
      <c r="D36" s="42"/>
      <c r="E36" s="42">
        <f ca="1">IFERROR(__xludf.DUMMYFUNCTION("""COMPUTED_VALUE"""),9641494185)</f>
        <v>9641494185</v>
      </c>
    </row>
    <row r="37" spans="1:5" ht="12.5">
      <c r="A37" s="42" t="str">
        <f ca="1">IFERROR(__xludf.DUMMYFUNCTION("""COMPUTED_VALUE"""),"Jayson C. Peli")</f>
        <v>Jayson C. Peli</v>
      </c>
      <c r="B37" s="42" t="str">
        <f ca="1">IFERROR(__xludf.DUMMYFUNCTION("""COMPUTED_VALUE"""),"M")</f>
        <v>M</v>
      </c>
      <c r="C37" s="42" t="str">
        <f ca="1">IFERROR(__xludf.DUMMYFUNCTION("""COMPUTED_VALUE"""),"Bayabas, Cabadbaran City")</f>
        <v>Bayabas, Cabadbaran City</v>
      </c>
      <c r="D37" s="42"/>
      <c r="E37" s="42">
        <f ca="1">IFERROR(__xludf.DUMMYFUNCTION("""COMPUTED_VALUE"""),9156723663)</f>
        <v>9156723663</v>
      </c>
    </row>
    <row r="38" spans="1:5" ht="12.5">
      <c r="A38" s="42" t="str">
        <f ca="1">IFERROR(__xludf.DUMMYFUNCTION("""COMPUTED_VALUE"""),"Pejie Tinagtag")</f>
        <v>Pejie Tinagtag</v>
      </c>
      <c r="B38" s="42" t="str">
        <f ca="1">IFERROR(__xludf.DUMMYFUNCTION("""COMPUTED_VALUE"""),"M")</f>
        <v>M</v>
      </c>
      <c r="C38" s="42" t="str">
        <f ca="1">IFERROR(__xludf.DUMMYFUNCTION("""COMPUTED_VALUE"""),"Calibunan, Cabadbaran City")</f>
        <v>Calibunan, Cabadbaran City</v>
      </c>
      <c r="D38" s="42"/>
      <c r="E38" s="42">
        <f ca="1">IFERROR(__xludf.DUMMYFUNCTION("""COMPUTED_VALUE"""),9484611770)</f>
        <v>9484611770</v>
      </c>
    </row>
    <row r="39" spans="1:5" ht="12.5">
      <c r="A39" s="42" t="str">
        <f ca="1">IFERROR(__xludf.DUMMYFUNCTION("""COMPUTED_VALUE"""),"Ruth E. Olalo")</f>
        <v>Ruth E. Olalo</v>
      </c>
      <c r="B39" s="42" t="str">
        <f ca="1">IFERROR(__xludf.DUMMYFUNCTION("""COMPUTED_VALUE"""),"F")</f>
        <v>F</v>
      </c>
      <c r="C39" s="42" t="str">
        <f ca="1">IFERROR(__xludf.DUMMYFUNCTION("""COMPUTED_VALUE"""),"La Union, Cabadbaran City")</f>
        <v>La Union, Cabadbaran City</v>
      </c>
      <c r="D39" s="42"/>
      <c r="E39" s="42">
        <f ca="1">IFERROR(__xludf.DUMMYFUNCTION("""COMPUTED_VALUE"""),9460421437)</f>
        <v>9460421437</v>
      </c>
    </row>
    <row r="40" spans="1:5" ht="12.5">
      <c r="A40" s="42" t="str">
        <f ca="1">IFERROR(__xludf.DUMMYFUNCTION("""COMPUTED_VALUE"""),"Abel Mizraim Telin")</f>
        <v>Abel Mizraim Telin</v>
      </c>
      <c r="B40" s="42" t="str">
        <f ca="1">IFERROR(__xludf.DUMMYFUNCTION("""COMPUTED_VALUE"""),"M")</f>
        <v>M</v>
      </c>
      <c r="C40" s="42" t="str">
        <f ca="1">IFERROR(__xludf.DUMMYFUNCTION("""COMPUTED_VALUE"""),"Poblacion 3, Cabadbaran City")</f>
        <v>Poblacion 3, Cabadbaran City</v>
      </c>
      <c r="D40" s="42"/>
      <c r="E40" s="42">
        <f ca="1">IFERROR(__xludf.DUMMYFUNCTION("""COMPUTED_VALUE"""),9949861830)</f>
        <v>9949861830</v>
      </c>
    </row>
    <row r="41" spans="1:5" ht="12.5">
      <c r="A41" s="42" t="str">
        <f ca="1">IFERROR(__xludf.DUMMYFUNCTION("""COMPUTED_VALUE"""),"Merco JB D. Lamosa")</f>
        <v>Merco JB D. Lamosa</v>
      </c>
      <c r="B41" s="42" t="str">
        <f ca="1">IFERROR(__xludf.DUMMYFUNCTION("""COMPUTED_VALUE"""),"F")</f>
        <v>F</v>
      </c>
      <c r="C41" s="42" t="str">
        <f ca="1">IFERROR(__xludf.DUMMYFUNCTION("""COMPUTED_VALUE"""),"Poblacion 2, Cabadbaran City")</f>
        <v>Poblacion 2, Cabadbaran City</v>
      </c>
      <c r="D41" s="42"/>
      <c r="E41" s="42">
        <f ca="1">IFERROR(__xludf.DUMMYFUNCTION("""COMPUTED_VALUE"""),9362797830)</f>
        <v>9362797830</v>
      </c>
    </row>
    <row r="42" spans="1:5" ht="12.5">
      <c r="A42" s="42" t="str">
        <f ca="1">IFERROR(__xludf.DUMMYFUNCTION("""COMPUTED_VALUE"""),"Allen Jade P. Duran")</f>
        <v>Allen Jade P. Duran</v>
      </c>
      <c r="B42" s="42" t="str">
        <f ca="1">IFERROR(__xludf.DUMMYFUNCTION("""COMPUTED_VALUE"""),"M")</f>
        <v>M</v>
      </c>
      <c r="C42" s="42" t="str">
        <f ca="1">IFERROR(__xludf.DUMMYFUNCTION("""COMPUTED_VALUE"""),"Del Pilar, Cabadbaran City")</f>
        <v>Del Pilar, Cabadbaran City</v>
      </c>
      <c r="D42" s="42"/>
      <c r="E42" s="42">
        <f ca="1">IFERROR(__xludf.DUMMYFUNCTION("""COMPUTED_VALUE"""),9851003257)</f>
        <v>9851003257</v>
      </c>
    </row>
    <row r="43" spans="1:5" ht="12.5">
      <c r="A43" s="42" t="str">
        <f ca="1">IFERROR(__xludf.DUMMYFUNCTION("""COMPUTED_VALUE"""),"Ciledoric Basadrio")</f>
        <v>Ciledoric Basadrio</v>
      </c>
      <c r="B43" s="42" t="str">
        <f ca="1">IFERROR(__xludf.DUMMYFUNCTION("""COMPUTED_VALUE"""),"M")</f>
        <v>M</v>
      </c>
      <c r="C43" s="42" t="str">
        <f ca="1">IFERROR(__xludf.DUMMYFUNCTION("""COMPUTED_VALUE"""),"La Union, Cabadbaran City")</f>
        <v>La Union, Cabadbaran City</v>
      </c>
      <c r="D43" s="42"/>
      <c r="E43" s="42">
        <f ca="1">IFERROR(__xludf.DUMMYFUNCTION("""COMPUTED_VALUE"""),9565573386)</f>
        <v>9565573386</v>
      </c>
    </row>
    <row r="44" spans="1:5" ht="12.5">
      <c r="A44" s="42" t="str">
        <f ca="1">IFERROR(__xludf.DUMMYFUNCTION("""COMPUTED_VALUE"""),"Rachel Tolentino")</f>
        <v>Rachel Tolentino</v>
      </c>
      <c r="B44" s="42" t="str">
        <f ca="1">IFERROR(__xludf.DUMMYFUNCTION("""COMPUTED_VALUE"""),"F")</f>
        <v>F</v>
      </c>
      <c r="C44" s="42" t="str">
        <f ca="1">IFERROR(__xludf.DUMMYFUNCTION("""COMPUTED_VALUE"""),"Barangay 7 Purok 2b")</f>
        <v>Barangay 7 Purok 2b</v>
      </c>
      <c r="D44" s="42"/>
      <c r="E44" s="42">
        <f ca="1">IFERROR(__xludf.DUMMYFUNCTION("""COMPUTED_VALUE"""),9388933973)</f>
        <v>9388933973</v>
      </c>
    </row>
    <row r="45" spans="1:5" ht="12.5">
      <c r="A45" s="42" t="str">
        <f ca="1">IFERROR(__xludf.DUMMYFUNCTION("""COMPUTED_VALUE"""),"Ruderic Cosmiano")</f>
        <v>Ruderic Cosmiano</v>
      </c>
      <c r="B45" s="42" t="str">
        <f ca="1">IFERROR(__xludf.DUMMYFUNCTION("""COMPUTED_VALUE"""),"M")</f>
        <v>M</v>
      </c>
      <c r="C45" s="42" t="str">
        <f ca="1">IFERROR(__xludf.DUMMYFUNCTION("""COMPUTED_VALUE"""),"Mainit, Surigao del Norte")</f>
        <v>Mainit, Surigao del Norte</v>
      </c>
      <c r="D45" s="42"/>
      <c r="E45" s="42">
        <f ca="1">IFERROR(__xludf.DUMMYFUNCTION("""COMPUTED_VALUE"""),9533920211)</f>
        <v>9533920211</v>
      </c>
    </row>
    <row r="46" spans="1:5" ht="12.5">
      <c r="A46" s="42" t="str">
        <f ca="1">IFERROR(__xludf.DUMMYFUNCTION("""COMPUTED_VALUE"""),"Jerlyn Salino")</f>
        <v>Jerlyn Salino</v>
      </c>
      <c r="B46" s="42" t="str">
        <f ca="1">IFERROR(__xludf.DUMMYFUNCTION("""COMPUTED_VALUE"""),"F")</f>
        <v>F</v>
      </c>
      <c r="C46" s="42" t="str">
        <f ca="1">IFERROR(__xludf.DUMMYFUNCTION("""COMPUTED_VALUE"""),"Tolosa, Cabadbaran City")</f>
        <v>Tolosa, Cabadbaran City</v>
      </c>
      <c r="D46" s="42"/>
      <c r="E46" s="42">
        <f ca="1">IFERROR(__xludf.DUMMYFUNCTION("""COMPUTED_VALUE"""),9629118726)</f>
        <v>9629118726</v>
      </c>
    </row>
    <row r="47" spans="1:5" ht="12.5">
      <c r="A47" s="42" t="str">
        <f ca="1">IFERROR(__xludf.DUMMYFUNCTION("""COMPUTED_VALUE"""),"Cherry Mae Baguio")</f>
        <v>Cherry Mae Baguio</v>
      </c>
      <c r="B47" s="42" t="str">
        <f ca="1">IFERROR(__xludf.DUMMYFUNCTION("""COMPUTED_VALUE"""),"F")</f>
        <v>F</v>
      </c>
      <c r="C47" s="42" t="str">
        <f ca="1">IFERROR(__xludf.DUMMYFUNCTION("""COMPUTED_VALUE"""),"RTR")</f>
        <v>RTR</v>
      </c>
      <c r="D47" s="42"/>
      <c r="E47" s="42">
        <f ca="1">IFERROR(__xludf.DUMMYFUNCTION("""COMPUTED_VALUE"""),9917952363)</f>
        <v>9917952363</v>
      </c>
    </row>
    <row r="48" spans="1:5" ht="12.5">
      <c r="A48" s="42" t="str">
        <f ca="1">IFERROR(__xludf.DUMMYFUNCTION("""COMPUTED_VALUE"""),"Crisanto Amadeo")</f>
        <v>Crisanto Amadeo</v>
      </c>
      <c r="B48" s="42" t="str">
        <f ca="1">IFERROR(__xludf.DUMMYFUNCTION("""COMPUTED_VALUE"""),"M")</f>
        <v>M</v>
      </c>
      <c r="C48" s="42" t="str">
        <f ca="1">IFERROR(__xludf.DUMMYFUNCTION("""COMPUTED_VALUE"""),"Sta. Ana, Tubay")</f>
        <v>Sta. Ana, Tubay</v>
      </c>
      <c r="D48" s="42"/>
      <c r="E48" s="42">
        <f ca="1">IFERROR(__xludf.DUMMYFUNCTION("""COMPUTED_VALUE"""),9750664666)</f>
        <v>9750664666</v>
      </c>
    </row>
    <row r="49" spans="1:5" ht="12.5">
      <c r="A49" s="42" t="str">
        <f ca="1">IFERROR(__xludf.DUMMYFUNCTION("""COMPUTED_VALUE"""),"Cristal keth Acebes")</f>
        <v>Cristal keth Acebes</v>
      </c>
      <c r="B49" s="42" t="str">
        <f ca="1">IFERROR(__xludf.DUMMYFUNCTION("""COMPUTED_VALUE"""),"F")</f>
        <v>F</v>
      </c>
      <c r="C49" s="42" t="str">
        <f ca="1">IFERROR(__xludf.DUMMYFUNCTION("""COMPUTED_VALUE"""),"Caasinan, Cabadbaran City")</f>
        <v>Caasinan, Cabadbaran City</v>
      </c>
      <c r="D49" s="42"/>
      <c r="E49" s="42">
        <f ca="1">IFERROR(__xludf.DUMMYFUNCTION("""COMPUTED_VALUE"""),9203919894)</f>
        <v>9203919894</v>
      </c>
    </row>
    <row r="50" spans="1:5" ht="12.5">
      <c r="A50" s="42" t="str">
        <f ca="1">IFERROR(__xludf.DUMMYFUNCTION("""COMPUTED_VALUE"""),"Lourabel P. Rulida")</f>
        <v>Lourabel P. Rulida</v>
      </c>
      <c r="B50" s="42" t="str">
        <f ca="1">IFERROR(__xludf.DUMMYFUNCTION("""COMPUTED_VALUE"""),"F")</f>
        <v>F</v>
      </c>
      <c r="C50" s="42" t="str">
        <f ca="1">IFERROR(__xludf.DUMMYFUNCTION("""COMPUTED_VALUE"""),"RTR")</f>
        <v>RTR</v>
      </c>
      <c r="D50" s="42"/>
      <c r="E50" s="42">
        <f ca="1">IFERROR(__xludf.DUMMYFUNCTION("""COMPUTED_VALUE"""),9639758339)</f>
        <v>9639758339</v>
      </c>
    </row>
    <row r="51" spans="1:5" ht="12.5">
      <c r="A51" s="42" t="str">
        <f ca="1">IFERROR(__xludf.DUMMYFUNCTION("""COMPUTED_VALUE"""),"Alejandro Panchito")</f>
        <v>Alejandro Panchito</v>
      </c>
      <c r="B51" s="42" t="str">
        <f ca="1">IFERROR(__xludf.DUMMYFUNCTION("""COMPUTED_VALUE"""),"M")</f>
        <v>M</v>
      </c>
      <c r="C51" s="42" t="str">
        <f ca="1">IFERROR(__xludf.DUMMYFUNCTION("""COMPUTED_VALUE"""),"Santiago")</f>
        <v>Santiago</v>
      </c>
      <c r="D51" s="42"/>
      <c r="E51" s="42">
        <f ca="1">IFERROR(__xludf.DUMMYFUNCTION("""COMPUTED_VALUE"""),9514840855)</f>
        <v>9514840855</v>
      </c>
    </row>
    <row r="52" spans="1:5" ht="12.5">
      <c r="A52" s="42" t="str">
        <f ca="1">IFERROR(__xludf.DUMMYFUNCTION("""COMPUTED_VALUE"""),"Xyryl Torres")</f>
        <v>Xyryl Torres</v>
      </c>
      <c r="B52" s="42" t="str">
        <f ca="1">IFERROR(__xludf.DUMMYFUNCTION("""COMPUTED_VALUE"""),"M")</f>
        <v>M</v>
      </c>
      <c r="C52" s="42" t="str">
        <f ca="1">IFERROR(__xludf.DUMMYFUNCTION("""COMPUTED_VALUE"""),"Tolosa, Cabadbaran City")</f>
        <v>Tolosa, Cabadbaran City</v>
      </c>
      <c r="D52" s="42"/>
      <c r="E52" s="42">
        <f ca="1">IFERROR(__xludf.DUMMYFUNCTION("""COMPUTED_VALUE"""),9633405917)</f>
        <v>9633405917</v>
      </c>
    </row>
    <row r="53" spans="1:5" ht="12.5">
      <c r="A53" s="42" t="str">
        <f ca="1">IFERROR(__xludf.DUMMYFUNCTION("""COMPUTED_VALUE"""),"J Subayan")</f>
        <v>J Subayan</v>
      </c>
      <c r="B53" s="42" t="str">
        <f ca="1">IFERROR(__xludf.DUMMYFUNCTION("""COMPUTED_VALUE"""),"F")</f>
        <v>F</v>
      </c>
      <c r="C53" s="42" t="str">
        <f ca="1">IFERROR(__xludf.DUMMYFUNCTION("""COMPUTED_VALUE"""),"Sibagat")</f>
        <v>Sibagat</v>
      </c>
      <c r="D53" s="42"/>
      <c r="E53" s="42">
        <f ca="1">IFERROR(__xludf.DUMMYFUNCTION("""COMPUTED_VALUE"""),9922147182)</f>
        <v>9922147182</v>
      </c>
    </row>
    <row r="54" spans="1:5" ht="12.5">
      <c r="A54" s="42" t="str">
        <f ca="1">IFERROR(__xludf.DUMMYFUNCTION("""COMPUTED_VALUE"""),"Kems Roberth Salvador")</f>
        <v>Kems Roberth Salvador</v>
      </c>
      <c r="B54" s="42" t="str">
        <f ca="1">IFERROR(__xludf.DUMMYFUNCTION("""COMPUTED_VALUE"""),"M")</f>
        <v>M</v>
      </c>
      <c r="C54" s="42" t="str">
        <f ca="1">IFERROR(__xludf.DUMMYFUNCTION("""COMPUTED_VALUE"""),"Tolosa, Cabadbaran City")</f>
        <v>Tolosa, Cabadbaran City</v>
      </c>
      <c r="D54" s="42"/>
      <c r="E54" s="42">
        <f ca="1">IFERROR(__xludf.DUMMYFUNCTION("""COMPUTED_VALUE"""),9128509089)</f>
        <v>9128509089</v>
      </c>
    </row>
    <row r="55" spans="1:5" ht="12.5">
      <c r="A55" s="42" t="str">
        <f ca="1">IFERROR(__xludf.DUMMYFUNCTION("""COMPUTED_VALUE"""),"Desiree G. Limer")</f>
        <v>Desiree G. Limer</v>
      </c>
      <c r="B55" s="42" t="str">
        <f ca="1">IFERROR(__xludf.DUMMYFUNCTION("""COMPUTED_VALUE"""),"F")</f>
        <v>F</v>
      </c>
      <c r="C55" s="42" t="str">
        <f ca="1">IFERROR(__xludf.DUMMYFUNCTION("""COMPUTED_VALUE"""),"Jabonga")</f>
        <v>Jabonga</v>
      </c>
      <c r="D55" s="42"/>
      <c r="E55" s="42">
        <f ca="1">IFERROR(__xludf.DUMMYFUNCTION("""COMPUTED_VALUE"""),9463671699)</f>
        <v>9463671699</v>
      </c>
    </row>
    <row r="56" spans="1:5" ht="12.5">
      <c r="A56" s="42" t="str">
        <f ca="1">IFERROR(__xludf.DUMMYFUNCTION("""COMPUTED_VALUE"""),"Niza Florence M. Junio")</f>
        <v>Niza Florence M. Junio</v>
      </c>
      <c r="B56" s="42" t="str">
        <f ca="1">IFERROR(__xludf.DUMMYFUNCTION("""COMPUTED_VALUE"""),"F")</f>
        <v>F</v>
      </c>
      <c r="C56" s="42" t="str">
        <f ca="1">IFERROR(__xludf.DUMMYFUNCTION("""COMPUTED_VALUE"""),"Kitcharao")</f>
        <v>Kitcharao</v>
      </c>
      <c r="D56" s="42"/>
      <c r="E56" s="42">
        <f ca="1">IFERROR(__xludf.DUMMYFUNCTION("""COMPUTED_VALUE"""),9487784655)</f>
        <v>9487784655</v>
      </c>
    </row>
    <row r="57" spans="1:5" ht="12.5">
      <c r="A57" s="42" t="str">
        <f ca="1">IFERROR(__xludf.DUMMYFUNCTION("""COMPUTED_VALUE"""),"Neil Martin Tampepe")</f>
        <v>Neil Martin Tampepe</v>
      </c>
      <c r="B57" s="42" t="str">
        <f ca="1">IFERROR(__xludf.DUMMYFUNCTION("""COMPUTED_VALUE"""),"M")</f>
        <v>M</v>
      </c>
      <c r="C57" s="42" t="str">
        <f ca="1">IFERROR(__xludf.DUMMYFUNCTION("""COMPUTED_VALUE"""),"Bay-Ang")</f>
        <v>Bay-Ang</v>
      </c>
      <c r="D57" s="42"/>
      <c r="E57" s="42">
        <f ca="1">IFERROR(__xludf.DUMMYFUNCTION("""COMPUTED_VALUE"""),9923029177)</f>
        <v>9923029177</v>
      </c>
    </row>
    <row r="58" spans="1:5" ht="12.5">
      <c r="A58" s="42" t="str">
        <f ca="1">IFERROR(__xludf.DUMMYFUNCTION("""COMPUTED_VALUE"""),"Emmanuelle Rey Tener")</f>
        <v>Emmanuelle Rey Tener</v>
      </c>
      <c r="B58" s="42" t="str">
        <f ca="1">IFERROR(__xludf.DUMMYFUNCTION("""COMPUTED_VALUE"""),"M")</f>
        <v>M</v>
      </c>
      <c r="C58" s="42" t="str">
        <f ca="1">IFERROR(__xludf.DUMMYFUNCTION("""COMPUTED_VALUE"""),"Soriano")</f>
        <v>Soriano</v>
      </c>
      <c r="D58" s="42"/>
      <c r="E58" s="42">
        <f ca="1">IFERROR(__xludf.DUMMYFUNCTION("""COMPUTED_VALUE"""),9150043112)</f>
        <v>9150043112</v>
      </c>
    </row>
    <row r="59" spans="1:5" ht="12.5">
      <c r="A59" s="42" t="str">
        <f ca="1">IFERROR(__xludf.DUMMYFUNCTION("""COMPUTED_VALUE"""),"Charlie Paner")</f>
        <v>Charlie Paner</v>
      </c>
      <c r="B59" s="42" t="str">
        <f ca="1">IFERROR(__xludf.DUMMYFUNCTION("""COMPUTED_VALUE"""),"M")</f>
        <v>M</v>
      </c>
      <c r="C59" s="42" t="str">
        <f ca="1">IFERROR(__xludf.DUMMYFUNCTION("""COMPUTED_VALUE"""),"Atega Sub.")</f>
        <v>Atega Sub.</v>
      </c>
      <c r="D59" s="42"/>
      <c r="E59" s="42">
        <f ca="1">IFERROR(__xludf.DUMMYFUNCTION("""COMPUTED_VALUE"""),9464874032)</f>
        <v>9464874032</v>
      </c>
    </row>
    <row r="60" spans="1:5" ht="12.5">
      <c r="A60" s="42" t="str">
        <f ca="1">IFERROR(__xludf.DUMMYFUNCTION("""COMPUTED_VALUE"""),"Meljean B. Capon")</f>
        <v>Meljean B. Capon</v>
      </c>
      <c r="B60" s="42" t="str">
        <f ca="1">IFERROR(__xludf.DUMMYFUNCTION("""COMPUTED_VALUE"""),"F")</f>
        <v>F</v>
      </c>
      <c r="C60" s="42" t="str">
        <f ca="1">IFERROR(__xludf.DUMMYFUNCTION("""COMPUTED_VALUE"""),"Cabadbaran City")</f>
        <v>Cabadbaran City</v>
      </c>
      <c r="D60" s="42"/>
      <c r="E60" s="42">
        <f ca="1">IFERROR(__xludf.DUMMYFUNCTION("""COMPUTED_VALUE"""),9925014751)</f>
        <v>9925014751</v>
      </c>
    </row>
    <row r="61" spans="1:5" ht="12.5">
      <c r="A61" s="42" t="str">
        <f ca="1">IFERROR(__xludf.DUMMYFUNCTION("""COMPUTED_VALUE"""),"Kimberly M. Ranao")</f>
        <v>Kimberly M. Ranao</v>
      </c>
      <c r="B61" s="42" t="str">
        <f ca="1">IFERROR(__xludf.DUMMYFUNCTION("""COMPUTED_VALUE"""),"F")</f>
        <v>F</v>
      </c>
      <c r="C61" s="42" t="str">
        <f ca="1">IFERROR(__xludf.DUMMYFUNCTION("""COMPUTED_VALUE"""),"Cabadbaran City")</f>
        <v>Cabadbaran City</v>
      </c>
      <c r="D61" s="42"/>
      <c r="E61" s="42">
        <f ca="1">IFERROR(__xludf.DUMMYFUNCTION("""COMPUTED_VALUE"""),9058879745)</f>
        <v>9058879745</v>
      </c>
    </row>
    <row r="62" spans="1:5" ht="12.5">
      <c r="A62" s="42" t="str">
        <f ca="1">IFERROR(__xludf.DUMMYFUNCTION("""COMPUTED_VALUE"""),"Kemberly R. Bugahob")</f>
        <v>Kemberly R. Bugahob</v>
      </c>
      <c r="B62" s="42" t="str">
        <f ca="1">IFERROR(__xludf.DUMMYFUNCTION("""COMPUTED_VALUE"""),"F")</f>
        <v>F</v>
      </c>
      <c r="C62" s="42" t="str">
        <f ca="1">IFERROR(__xludf.DUMMYFUNCTION("""COMPUTED_VALUE"""),"Cabadbaran City")</f>
        <v>Cabadbaran City</v>
      </c>
      <c r="D62" s="42"/>
      <c r="E62" s="42">
        <f ca="1">IFERROR(__xludf.DUMMYFUNCTION("""COMPUTED_VALUE"""),9078684618)</f>
        <v>9078684618</v>
      </c>
    </row>
    <row r="63" spans="1:5" ht="12.5">
      <c r="A63" s="42" t="str">
        <f ca="1">IFERROR(__xludf.DUMMYFUNCTION("""COMPUTED_VALUE"""),"Nestor S. Gorgonio Jr.")</f>
        <v>Nestor S. Gorgonio Jr.</v>
      </c>
      <c r="B63" s="42" t="str">
        <f ca="1">IFERROR(__xludf.DUMMYFUNCTION("""COMPUTED_VALUE"""),"M")</f>
        <v>M</v>
      </c>
      <c r="C63" s="42" t="str">
        <f ca="1">IFERROR(__xludf.DUMMYFUNCTION("""COMPUTED_VALUE"""),"Sanghay")</f>
        <v>Sanghay</v>
      </c>
      <c r="D63" s="42"/>
      <c r="E63" s="42">
        <f ca="1">IFERROR(__xludf.DUMMYFUNCTION("""COMPUTED_VALUE"""),9816981251)</f>
        <v>9816981251</v>
      </c>
    </row>
    <row r="64" spans="1:5" ht="12.5">
      <c r="A64" s="42" t="str">
        <f ca="1">IFERROR(__xludf.DUMMYFUNCTION("""COMPUTED_VALUE"""),"Charish C. Dagohoy")</f>
        <v>Charish C. Dagohoy</v>
      </c>
      <c r="B64" s="42" t="str">
        <f ca="1">IFERROR(__xludf.DUMMYFUNCTION("""COMPUTED_VALUE"""),"F")</f>
        <v>F</v>
      </c>
      <c r="C64" s="42" t="str">
        <f ca="1">IFERROR(__xludf.DUMMYFUNCTION("""COMPUTED_VALUE"""),"Mahaba")</f>
        <v>Mahaba</v>
      </c>
      <c r="D64" s="42"/>
      <c r="E64" s="42">
        <f ca="1">IFERROR(__xludf.DUMMYFUNCTION("""COMPUTED_VALUE"""),9635757909)</f>
        <v>9635757909</v>
      </c>
    </row>
    <row r="65" spans="1:5" ht="12.5">
      <c r="A65" s="42" t="str">
        <f ca="1">IFERROR(__xludf.DUMMYFUNCTION("""COMPUTED_VALUE"""),"Jeric C. Calejesan")</f>
        <v>Jeric C. Calejesan</v>
      </c>
      <c r="B65" s="42" t="str">
        <f ca="1">IFERROR(__xludf.DUMMYFUNCTION("""COMPUTED_VALUE"""),"M")</f>
        <v>M</v>
      </c>
      <c r="C65" s="42" t="str">
        <f ca="1">IFERROR(__xludf.DUMMYFUNCTION("""COMPUTED_VALUE"""),"Puting Bato")</f>
        <v>Puting Bato</v>
      </c>
      <c r="D65" s="42"/>
      <c r="E65" s="42">
        <f ca="1">IFERROR(__xludf.DUMMYFUNCTION("""COMPUTED_VALUE"""),9319955054)</f>
        <v>9319955054</v>
      </c>
    </row>
    <row r="66" spans="1:5" ht="12.5">
      <c r="A66" s="42" t="str">
        <f ca="1">IFERROR(__xludf.DUMMYFUNCTION("""COMPUTED_VALUE"""),"Arnel Bermiso")</f>
        <v>Arnel Bermiso</v>
      </c>
      <c r="B66" s="42" t="str">
        <f ca="1">IFERROR(__xludf.DUMMYFUNCTION("""COMPUTED_VALUE"""),"M")</f>
        <v>M</v>
      </c>
      <c r="C66" s="42" t="str">
        <f ca="1">IFERROR(__xludf.DUMMYFUNCTION("""COMPUTED_VALUE"""),"PARS")</f>
        <v>PARS</v>
      </c>
      <c r="D66" s="42"/>
      <c r="E66" s="42">
        <f ca="1">IFERROR(__xludf.DUMMYFUNCTION("""COMPUTED_VALUE"""),9487109644)</f>
        <v>9487109644</v>
      </c>
    </row>
    <row r="67" spans="1:5" ht="12.5">
      <c r="A67" s="42" t="str">
        <f ca="1">IFERROR(__xludf.DUMMYFUNCTION("""COMPUTED_VALUE"""),"Glan Mer E. Constacio")</f>
        <v>Glan Mer E. Constacio</v>
      </c>
      <c r="B67" s="42" t="str">
        <f ca="1">IFERROR(__xludf.DUMMYFUNCTION("""COMPUTED_VALUE"""),"M")</f>
        <v>M</v>
      </c>
      <c r="C67" s="42" t="str">
        <f ca="1">IFERROR(__xludf.DUMMYFUNCTION("""COMPUTED_VALUE"""),"P-7 Puting Bato")</f>
        <v>P-7 Puting Bato</v>
      </c>
      <c r="D67" s="42"/>
      <c r="E67" s="42">
        <f ca="1">IFERROR(__xludf.DUMMYFUNCTION("""COMPUTED_VALUE"""),970020121)</f>
        <v>970020121</v>
      </c>
    </row>
    <row r="68" spans="1:5" ht="12.5">
      <c r="A68" s="42" t="str">
        <f ca="1">IFERROR(__xludf.DUMMYFUNCTION("""COMPUTED_VALUE"""),"Cah Zedrick M. Baguinaon")</f>
        <v>Cah Zedrick M. Baguinaon</v>
      </c>
      <c r="B68" s="42" t="str">
        <f ca="1">IFERROR(__xludf.DUMMYFUNCTION("""COMPUTED_VALUE"""),"M")</f>
        <v>M</v>
      </c>
      <c r="C68" s="42" t="str">
        <f ca="1">IFERROR(__xludf.DUMMYFUNCTION("""COMPUTED_VALUE"""),"P-5 Alegria")</f>
        <v>P-5 Alegria</v>
      </c>
      <c r="D68" s="42"/>
      <c r="E68" s="42">
        <f ca="1">IFERROR(__xludf.DUMMYFUNCTION("""COMPUTED_VALUE"""),9925437924)</f>
        <v>9925437924</v>
      </c>
    </row>
    <row r="69" spans="1:5" ht="12.5">
      <c r="A69" s="42" t="str">
        <f ca="1">IFERROR(__xludf.DUMMYFUNCTION("""COMPUTED_VALUE"""),"Art O. Rilots")</f>
        <v>Art O. Rilots</v>
      </c>
      <c r="B69" s="42" t="str">
        <f ca="1">IFERROR(__xludf.DUMMYFUNCTION("""COMPUTED_VALUE"""),"M")</f>
        <v>M</v>
      </c>
      <c r="C69" s="42" t="str">
        <f ca="1">IFERROR(__xludf.DUMMYFUNCTION("""COMPUTED_VALUE"""),"P-8 Alegria")</f>
        <v>P-8 Alegria</v>
      </c>
      <c r="D69" s="42"/>
      <c r="E69" s="42">
        <f ca="1">IFERROR(__xludf.DUMMYFUNCTION("""COMPUTED_VALUE"""),9635934057)</f>
        <v>9635934057</v>
      </c>
    </row>
    <row r="70" spans="1:5" ht="12.5">
      <c r="A70" s="42" t="str">
        <f ca="1">IFERROR(__xludf.DUMMYFUNCTION("""COMPUTED_VALUE"""),"Josua E. Paas")</f>
        <v>Josua E. Paas</v>
      </c>
      <c r="B70" s="42" t="str">
        <f ca="1">IFERROR(__xludf.DUMMYFUNCTION("""COMPUTED_VALUE"""),"M")</f>
        <v>M</v>
      </c>
      <c r="C70" s="42" t="str">
        <f ca="1">IFERROR(__xludf.DUMMYFUNCTION("""COMPUTED_VALUE"""),"P-8 Alegria")</f>
        <v>P-8 Alegria</v>
      </c>
      <c r="D70" s="42"/>
      <c r="E70" s="42">
        <f ca="1">IFERROR(__xludf.DUMMYFUNCTION("""COMPUTED_VALUE"""),9267976384)</f>
        <v>9267976384</v>
      </c>
    </row>
    <row r="71" spans="1:5" ht="12.5">
      <c r="A71" s="42" t="str">
        <f ca="1">IFERROR(__xludf.DUMMYFUNCTION("""COMPUTED_VALUE"""),"Reymark T. Marcos")</f>
        <v>Reymark T. Marcos</v>
      </c>
      <c r="B71" s="42" t="str">
        <f ca="1">IFERROR(__xludf.DUMMYFUNCTION("""COMPUTED_VALUE"""),"M")</f>
        <v>M</v>
      </c>
      <c r="C71" s="42" t="str">
        <f ca="1">IFERROR(__xludf.DUMMYFUNCTION("""COMPUTED_VALUE"""),"P-6 San Antonio")</f>
        <v>P-6 San Antonio</v>
      </c>
      <c r="D71" s="42"/>
      <c r="E71" s="42">
        <f ca="1">IFERROR(__xludf.DUMMYFUNCTION("""COMPUTED_VALUE"""),9816053695)</f>
        <v>9816053695</v>
      </c>
    </row>
    <row r="72" spans="1:5" ht="12.5">
      <c r="A72" s="42" t="str">
        <f ca="1">IFERROR(__xludf.DUMMYFUNCTION("""COMPUTED_VALUE"""),"Jenkian C. Amparado")</f>
        <v>Jenkian C. Amparado</v>
      </c>
      <c r="B72" s="42" t="str">
        <f ca="1">IFERROR(__xludf.DUMMYFUNCTION("""COMPUTED_VALUE"""),"M")</f>
        <v>M</v>
      </c>
      <c r="C72" s="42" t="str">
        <f ca="1">IFERROR(__xludf.DUMMYFUNCTION("""COMPUTED_VALUE"""),"P-1 Kitcharao")</f>
        <v>P-1 Kitcharao</v>
      </c>
      <c r="D72" s="42"/>
      <c r="E72" s="42">
        <f ca="1">IFERROR(__xludf.DUMMYFUNCTION("""COMPUTED_VALUE"""),9105869014)</f>
        <v>9105869014</v>
      </c>
    </row>
    <row r="73" spans="1:5" ht="12.5">
      <c r="A73" s="42" t="str">
        <f ca="1">IFERROR(__xludf.DUMMYFUNCTION("""COMPUTED_VALUE"""),"Mark T. Son")</f>
        <v>Mark T. Son</v>
      </c>
      <c r="B73" s="42" t="str">
        <f ca="1">IFERROR(__xludf.DUMMYFUNCTION("""COMPUTED_VALUE"""),"M")</f>
        <v>M</v>
      </c>
      <c r="C73" s="42" t="str">
        <f ca="1">IFERROR(__xludf.DUMMYFUNCTION("""COMPUTED_VALUE"""),"P-6 Kitcharao")</f>
        <v>P-6 Kitcharao</v>
      </c>
      <c r="D73" s="42"/>
      <c r="E73" s="42">
        <f ca="1">IFERROR(__xludf.DUMMYFUNCTION("""COMPUTED_VALUE"""),9551286153)</f>
        <v>9551286153</v>
      </c>
    </row>
    <row r="74" spans="1:5" ht="12.5">
      <c r="A74" s="42" t="str">
        <f ca="1">IFERROR(__xludf.DUMMYFUNCTION("""COMPUTED_VALUE"""),"Jhun Josep M. Rocero")</f>
        <v>Jhun Josep M. Rocero</v>
      </c>
      <c r="B74" s="42" t="str">
        <f ca="1">IFERROR(__xludf.DUMMYFUNCTION("""COMPUTED_VALUE"""),"M")</f>
        <v>M</v>
      </c>
      <c r="C74" s="42" t="str">
        <f ca="1">IFERROR(__xludf.DUMMYFUNCTION("""COMPUTED_VALUE"""),"Brgy. 9, Cabadbaran City")</f>
        <v>Brgy. 9, Cabadbaran City</v>
      </c>
      <c r="D74" s="42"/>
      <c r="E74" s="42">
        <f ca="1">IFERROR(__xludf.DUMMYFUNCTION("""COMPUTED_VALUE"""),9700423053)</f>
        <v>9700423053</v>
      </c>
    </row>
    <row r="75" spans="1:5" ht="12.5">
      <c r="A75" s="42" t="str">
        <f ca="1">IFERROR(__xludf.DUMMYFUNCTION("""COMPUTED_VALUE"""),"Regina Joy Kintao")</f>
        <v>Regina Joy Kintao</v>
      </c>
      <c r="B75" s="42" t="str">
        <f ca="1">IFERROR(__xludf.DUMMYFUNCTION("""COMPUTED_VALUE"""),"F")</f>
        <v>F</v>
      </c>
      <c r="C75" s="42" t="str">
        <f ca="1">IFERROR(__xludf.DUMMYFUNCTION("""COMPUTED_VALUE"""),"P-5 Cabadbaran City")</f>
        <v>P-5 Cabadbaran City</v>
      </c>
      <c r="D75" s="42"/>
      <c r="E75" s="42">
        <f ca="1">IFERROR(__xludf.DUMMYFUNCTION("""COMPUTED_VALUE"""),9072590250)</f>
        <v>9072590250</v>
      </c>
    </row>
    <row r="76" spans="1:5" ht="12.5">
      <c r="A76" s="42" t="str">
        <f ca="1">IFERROR(__xludf.DUMMYFUNCTION("""COMPUTED_VALUE"""),"Orland K. Salazar")</f>
        <v>Orland K. Salazar</v>
      </c>
      <c r="B76" s="42" t="str">
        <f ca="1">IFERROR(__xludf.DUMMYFUNCTION("""COMPUTED_VALUE"""),"M")</f>
        <v>M</v>
      </c>
      <c r="C76" s="42" t="str">
        <f ca="1">IFERROR(__xludf.DUMMYFUNCTION("""COMPUTED_VALUE"""),"Calibunan, Cabadbaran City")</f>
        <v>Calibunan, Cabadbaran City</v>
      </c>
      <c r="D76" s="42"/>
      <c r="E76" s="42">
        <f ca="1">IFERROR(__xludf.DUMMYFUNCTION("""COMPUTED_VALUE"""),9507117891)</f>
        <v>9507117891</v>
      </c>
    </row>
    <row r="77" spans="1:5" ht="12.5">
      <c r="A77" s="42" t="str">
        <f ca="1">IFERROR(__xludf.DUMMYFUNCTION("""COMPUTED_VALUE"""),"John Kenneth H. Tumbaga")</f>
        <v>John Kenneth H. Tumbaga</v>
      </c>
      <c r="B77" s="42" t="str">
        <f ca="1">IFERROR(__xludf.DUMMYFUNCTION("""COMPUTED_VALUE"""),"M")</f>
        <v>M</v>
      </c>
      <c r="C77" s="42" t="str">
        <f ca="1">IFERROR(__xludf.DUMMYFUNCTION("""COMPUTED_VALUE"""),"Calibunan, Cabadbaran City")</f>
        <v>Calibunan, Cabadbaran City</v>
      </c>
      <c r="D77" s="42"/>
      <c r="E77" s="42">
        <f ca="1">IFERROR(__xludf.DUMMYFUNCTION("""COMPUTED_VALUE"""),9095797706)</f>
        <v>9095797706</v>
      </c>
    </row>
    <row r="78" spans="1:5" ht="12.5">
      <c r="A78" s="42" t="str">
        <f ca="1">IFERROR(__xludf.DUMMYFUNCTION("""COMPUTED_VALUE"""),"Glenn Mark D. Masacote")</f>
        <v>Glenn Mark D. Masacote</v>
      </c>
      <c r="B78" s="42" t="str">
        <f ca="1">IFERROR(__xludf.DUMMYFUNCTION("""COMPUTED_VALUE"""),"M")</f>
        <v>M</v>
      </c>
      <c r="C78" s="42" t="str">
        <f ca="1">IFERROR(__xludf.DUMMYFUNCTION("""COMPUTED_VALUE"""),"Tubay")</f>
        <v>Tubay</v>
      </c>
      <c r="D78" s="42"/>
      <c r="E78" s="42">
        <f ca="1">IFERROR(__xludf.DUMMYFUNCTION("""COMPUTED_VALUE"""),995880869)</f>
        <v>995880869</v>
      </c>
    </row>
    <row r="79" spans="1:5" ht="12.5">
      <c r="A79" s="42" t="str">
        <f ca="1">IFERROR(__xludf.DUMMYFUNCTION("""COMPUTED_VALUE"""),"Deshery Maglasang")</f>
        <v>Deshery Maglasang</v>
      </c>
      <c r="B79" s="42" t="str">
        <f ca="1">IFERROR(__xludf.DUMMYFUNCTION("""COMPUTED_VALUE"""),"F")</f>
        <v>F</v>
      </c>
      <c r="C79" s="42" t="str">
        <f ca="1">IFERROR(__xludf.DUMMYFUNCTION("""COMPUTED_VALUE"""),"Butuan City")</f>
        <v>Butuan City</v>
      </c>
      <c r="D79" s="42"/>
      <c r="E79" s="42">
        <f ca="1">IFERROR(__xludf.DUMMYFUNCTION("""COMPUTED_VALUE"""),9085499465)</f>
        <v>9085499465</v>
      </c>
    </row>
    <row r="80" spans="1:5" ht="12.5">
      <c r="A80" s="42" t="str">
        <f ca="1">IFERROR(__xludf.DUMMYFUNCTION("""COMPUTED_VALUE"""),"Rima B. Villavencio")</f>
        <v>Rima B. Villavencio</v>
      </c>
      <c r="B80" s="42" t="str">
        <f ca="1">IFERROR(__xludf.DUMMYFUNCTION("""COMPUTED_VALUE"""),"F")</f>
        <v>F</v>
      </c>
      <c r="C80" s="42" t="str">
        <f ca="1">IFERROR(__xludf.DUMMYFUNCTION("""COMPUTED_VALUE"""),"Cabadbaran City")</f>
        <v>Cabadbaran City</v>
      </c>
      <c r="D80" s="42" t="str">
        <f ca="1">IFERROR(__xludf.DUMMYFUNCTION("""COMPUTED_VALUE"""),"BS in Computer Engineering")</f>
        <v>BS in Computer Engineering</v>
      </c>
      <c r="E80" s="42">
        <f ca="1">IFERROR(__xludf.DUMMYFUNCTION("""COMPUTED_VALUE"""),9155109056)</f>
        <v>9155109056</v>
      </c>
    </row>
    <row r="81" spans="1:5" ht="12.5">
      <c r="A81" s="42" t="str">
        <f ca="1">IFERROR(__xludf.DUMMYFUNCTION("""COMPUTED_VALUE"""),"Mansueta Quiboy")</f>
        <v>Mansueta Quiboy</v>
      </c>
      <c r="B81" s="42" t="str">
        <f ca="1">IFERROR(__xludf.DUMMYFUNCTION("""COMPUTED_VALUE"""),"F")</f>
        <v>F</v>
      </c>
      <c r="C81" s="42" t="str">
        <f ca="1">IFERROR(__xludf.DUMMYFUNCTION("""COMPUTED_VALUE"""),"Cabadbaran City")</f>
        <v>Cabadbaran City</v>
      </c>
      <c r="D81" s="42"/>
      <c r="E81" s="42">
        <f ca="1">IFERROR(__xludf.DUMMYFUNCTION("""COMPUTED_VALUE"""),9467561595)</f>
        <v>9467561595</v>
      </c>
    </row>
    <row r="82" spans="1:5" ht="12.5">
      <c r="A82" s="42" t="str">
        <f ca="1">IFERROR(__xludf.DUMMYFUNCTION("""COMPUTED_VALUE"""),"Marchee Q. Sallare")</f>
        <v>Marchee Q. Sallare</v>
      </c>
      <c r="B82" s="42" t="str">
        <f ca="1">IFERROR(__xludf.DUMMYFUNCTION("""COMPUTED_VALUE"""),"F")</f>
        <v>F</v>
      </c>
      <c r="C82" s="42" t="str">
        <f ca="1">IFERROR(__xludf.DUMMYFUNCTION("""COMPUTED_VALUE"""),"Cabadbaran City")</f>
        <v>Cabadbaran City</v>
      </c>
      <c r="D82" s="42"/>
      <c r="E82" s="42">
        <f ca="1">IFERROR(__xludf.DUMMYFUNCTION("""COMPUTED_VALUE"""),9634806787)</f>
        <v>9634806787</v>
      </c>
    </row>
    <row r="83" spans="1:5" ht="12.5">
      <c r="A83" s="42" t="str">
        <f ca="1">IFERROR(__xludf.DUMMYFUNCTION("""COMPUTED_VALUE"""),"Ervy Jhon B. Beray")</f>
        <v>Ervy Jhon B. Beray</v>
      </c>
      <c r="B83" s="42" t="str">
        <f ca="1">IFERROR(__xludf.DUMMYFUNCTION("""COMPUTED_VALUE"""),"M")</f>
        <v>M</v>
      </c>
      <c r="C83" s="42" t="str">
        <f ca="1">IFERROR(__xludf.DUMMYFUNCTION("""COMPUTED_VALUE"""),"Cabadbaran City")</f>
        <v>Cabadbaran City</v>
      </c>
      <c r="D83" s="42"/>
      <c r="E83" s="42">
        <f ca="1">IFERROR(__xludf.DUMMYFUNCTION("""COMPUTED_VALUE"""),9109604379)</f>
        <v>9109604379</v>
      </c>
    </row>
    <row r="84" spans="1:5" ht="12.5">
      <c r="A84" s="42" t="str">
        <f ca="1">IFERROR(__xludf.DUMMYFUNCTION("""COMPUTED_VALUE"""),"Ailyn P. Plisco")</f>
        <v>Ailyn P. Plisco</v>
      </c>
      <c r="B84" s="42" t="str">
        <f ca="1">IFERROR(__xludf.DUMMYFUNCTION("""COMPUTED_VALUE"""),"F")</f>
        <v>F</v>
      </c>
      <c r="C84" s="42" t="str">
        <f ca="1">IFERROR(__xludf.DUMMYFUNCTION("""COMPUTED_VALUE"""),"Butuan City")</f>
        <v>Butuan City</v>
      </c>
      <c r="D84" s="42" t="str">
        <f ca="1">IFERROR(__xludf.DUMMYFUNCTION("""COMPUTED_VALUE"""),"BSED")</f>
        <v>BSED</v>
      </c>
      <c r="E84" s="42">
        <f ca="1">IFERROR(__xludf.DUMMYFUNCTION("""COMPUTED_VALUE"""),9641005716)</f>
        <v>9641005716</v>
      </c>
    </row>
    <row r="85" spans="1:5" ht="12.5">
      <c r="A85" s="42" t="str">
        <f ca="1">IFERROR(__xludf.DUMMYFUNCTION("""COMPUTED_VALUE"""),"Juvelyn May E. Marial")</f>
        <v>Juvelyn May E. Marial</v>
      </c>
      <c r="B85" s="42" t="str">
        <f ca="1">IFERROR(__xludf.DUMMYFUNCTION("""COMPUTED_VALUE"""),"F")</f>
        <v>F</v>
      </c>
      <c r="C85" s="42" t="str">
        <f ca="1">IFERROR(__xludf.DUMMYFUNCTION("""COMPUTED_VALUE"""),"Jabonga")</f>
        <v>Jabonga</v>
      </c>
      <c r="D85" s="42" t="str">
        <f ca="1">IFERROR(__xludf.DUMMYFUNCTION("""COMPUTED_VALUE"""),"BEED")</f>
        <v>BEED</v>
      </c>
      <c r="E85" s="42">
        <f ca="1">IFERROR(__xludf.DUMMYFUNCTION("""COMPUTED_VALUE"""),9705451919)</f>
        <v>9705451919</v>
      </c>
    </row>
    <row r="86" spans="1:5" ht="12.5">
      <c r="A86" s="42" t="str">
        <f ca="1">IFERROR(__xludf.DUMMYFUNCTION("""COMPUTED_VALUE"""),"Kenneth Jade B. Mejada")</f>
        <v>Kenneth Jade B. Mejada</v>
      </c>
      <c r="B86" s="42" t="str">
        <f ca="1">IFERROR(__xludf.DUMMYFUNCTION("""COMPUTED_VALUE"""),"M")</f>
        <v>M</v>
      </c>
      <c r="C86" s="42" t="str">
        <f ca="1">IFERROR(__xludf.DUMMYFUNCTION("""COMPUTED_VALUE"""),"RTR")</f>
        <v>RTR</v>
      </c>
      <c r="D86" s="42"/>
      <c r="E86" s="42">
        <f ca="1">IFERROR(__xludf.DUMMYFUNCTION("""COMPUTED_VALUE"""),9203230297)</f>
        <v>9203230297</v>
      </c>
    </row>
    <row r="87" spans="1:5" ht="12.5">
      <c r="A87" s="42" t="str">
        <f ca="1">IFERROR(__xludf.DUMMYFUNCTION("""COMPUTED_VALUE"""),"Arnel Milagpos")</f>
        <v>Arnel Milagpos</v>
      </c>
      <c r="B87" s="42" t="str">
        <f ca="1">IFERROR(__xludf.DUMMYFUNCTION("""COMPUTED_VALUE"""),"M")</f>
        <v>M</v>
      </c>
      <c r="C87" s="42" t="str">
        <f ca="1">IFERROR(__xludf.DUMMYFUNCTION("""COMPUTED_VALUE"""),"P-8 Caasinan,Cabadbaran City")</f>
        <v>P-8 Caasinan,Cabadbaran City</v>
      </c>
      <c r="D87" s="42"/>
      <c r="E87" s="42">
        <f ca="1">IFERROR(__xludf.DUMMYFUNCTION("""COMPUTED_VALUE"""),9351091657)</f>
        <v>9351091657</v>
      </c>
    </row>
    <row r="88" spans="1:5" ht="12.5">
      <c r="A88" s="42" t="str">
        <f ca="1">IFERROR(__xludf.DUMMYFUNCTION("""COMPUTED_VALUE"""),"Jenny Vev Maratas")</f>
        <v>Jenny Vev Maratas</v>
      </c>
      <c r="B88" s="42" t="str">
        <f ca="1">IFERROR(__xludf.DUMMYFUNCTION("""COMPUTED_VALUE"""),"F")</f>
        <v>F</v>
      </c>
      <c r="C88" s="42" t="str">
        <f ca="1">IFERROR(__xludf.DUMMYFUNCTION("""COMPUTED_VALUE"""),"Magallanes")</f>
        <v>Magallanes</v>
      </c>
      <c r="D88" s="42" t="str">
        <f ca="1">IFERROR(__xludf.DUMMYFUNCTION("""COMPUTED_VALUE"""),"BSED")</f>
        <v>BSED</v>
      </c>
      <c r="E88" s="42">
        <f ca="1">IFERROR(__xludf.DUMMYFUNCTION("""COMPUTED_VALUE"""),9288888357)</f>
        <v>9288888357</v>
      </c>
    </row>
    <row r="89" spans="1:5" ht="12.5">
      <c r="A89" s="42" t="str">
        <f ca="1">IFERROR(__xludf.DUMMYFUNCTION("""COMPUTED_VALUE"""),"Ruffa Mae A Fedelis")</f>
        <v>Ruffa Mae A Fedelis</v>
      </c>
      <c r="B89" s="42" t="str">
        <f ca="1">IFERROR(__xludf.DUMMYFUNCTION("""COMPUTED_VALUE"""),"F")</f>
        <v>F</v>
      </c>
      <c r="C89" s="42" t="str">
        <f ca="1">IFERROR(__xludf.DUMMYFUNCTION("""COMPUTED_VALUE"""),"Santiago")</f>
        <v>Santiago</v>
      </c>
      <c r="D89" s="42"/>
      <c r="E89" s="42">
        <f ca="1">IFERROR(__xludf.DUMMYFUNCTION("""COMPUTED_VALUE"""),9368906686)</f>
        <v>9368906686</v>
      </c>
    </row>
    <row r="90" spans="1:5" ht="12.5">
      <c r="A90" s="42" t="str">
        <f ca="1">IFERROR(__xludf.DUMMYFUNCTION("""COMPUTED_VALUE"""),"Elvy V. Lim")</f>
        <v>Elvy V. Lim</v>
      </c>
      <c r="B90" s="42" t="str">
        <f ca="1">IFERROR(__xludf.DUMMYFUNCTION("""COMPUTED_VALUE"""),"F")</f>
        <v>F</v>
      </c>
      <c r="C90" s="42" t="str">
        <f ca="1">IFERROR(__xludf.DUMMYFUNCTION("""COMPUTED_VALUE"""),"Magallanes")</f>
        <v>Magallanes</v>
      </c>
      <c r="D90" s="42"/>
      <c r="E90" s="42">
        <f ca="1">IFERROR(__xludf.DUMMYFUNCTION("""COMPUTED_VALUE"""),9385422175)</f>
        <v>9385422175</v>
      </c>
    </row>
    <row r="91" spans="1:5" ht="12.5">
      <c r="A91" s="42" t="str">
        <f ca="1">IFERROR(__xludf.DUMMYFUNCTION("""COMPUTED_VALUE"""),"Jesse S. Lim")</f>
        <v>Jesse S. Lim</v>
      </c>
      <c r="B91" s="42" t="str">
        <f ca="1">IFERROR(__xludf.DUMMYFUNCTION("""COMPUTED_VALUE"""),"M")</f>
        <v>M</v>
      </c>
      <c r="C91" s="42" t="str">
        <f ca="1">IFERROR(__xludf.DUMMYFUNCTION("""COMPUTED_VALUE"""),"Magallanes")</f>
        <v>Magallanes</v>
      </c>
      <c r="D91" s="42"/>
      <c r="E91" s="42">
        <f ca="1">IFERROR(__xludf.DUMMYFUNCTION("""COMPUTED_VALUE"""),9511725056)</f>
        <v>9511725056</v>
      </c>
    </row>
    <row r="92" spans="1:5" ht="12.5">
      <c r="A92" s="42" t="str">
        <f ca="1">IFERROR(__xludf.DUMMYFUNCTION("""COMPUTED_VALUE"""),"Ivy Jane Montiagodo")</f>
        <v>Ivy Jane Montiagodo</v>
      </c>
      <c r="B92" s="42" t="str">
        <f ca="1">IFERROR(__xludf.DUMMYFUNCTION("""COMPUTED_VALUE"""),"F")</f>
        <v>F</v>
      </c>
      <c r="C92" s="42" t="str">
        <f ca="1">IFERROR(__xludf.DUMMYFUNCTION("""COMPUTED_VALUE"""),"P-5 Tolosa, Cabadbaran City")</f>
        <v>P-5 Tolosa, Cabadbaran City</v>
      </c>
      <c r="D92" s="42"/>
      <c r="E92" s="42">
        <f ca="1">IFERROR(__xludf.DUMMYFUNCTION("""COMPUTED_VALUE"""),9633770792)</f>
        <v>9633770792</v>
      </c>
    </row>
    <row r="93" spans="1:5" ht="12.5">
      <c r="A93" s="42" t="str">
        <f ca="1">IFERROR(__xludf.DUMMYFUNCTION("""COMPUTED_VALUE"""),"Jane Lawagon")</f>
        <v>Jane Lawagon</v>
      </c>
      <c r="B93" s="42" t="str">
        <f ca="1">IFERROR(__xludf.DUMMYFUNCTION("""COMPUTED_VALUE"""),"F")</f>
        <v>F</v>
      </c>
      <c r="C93" s="42" t="str">
        <f ca="1">IFERROR(__xludf.DUMMYFUNCTION("""COMPUTED_VALUE"""),"P-2 Cabinet")</f>
        <v>P-2 Cabinet</v>
      </c>
      <c r="D93" s="42"/>
      <c r="E93" s="42">
        <f ca="1">IFERROR(__xludf.DUMMYFUNCTION("""COMPUTED_VALUE"""),9109799102)</f>
        <v>9109799102</v>
      </c>
    </row>
    <row r="94" spans="1:5" ht="12.5">
      <c r="A94" s="42" t="str">
        <f ca="1">IFERROR(__xludf.DUMMYFUNCTION("""COMPUTED_VALUE"""),"Shella B. Labadan")</f>
        <v>Shella B. Labadan</v>
      </c>
      <c r="B94" s="42" t="str">
        <f ca="1">IFERROR(__xludf.DUMMYFUNCTION("""COMPUTED_VALUE"""),"F")</f>
        <v>F</v>
      </c>
      <c r="C94" s="42" t="str">
        <f ca="1">IFERROR(__xludf.DUMMYFUNCTION("""COMPUTED_VALUE"""),"Brgy 4")</f>
        <v>Brgy 4</v>
      </c>
      <c r="D94" s="42" t="str">
        <f ca="1">IFERROR(__xludf.DUMMYFUNCTION("""COMPUTED_VALUE"""),"BSED")</f>
        <v>BSED</v>
      </c>
      <c r="E94" s="42">
        <f ca="1">IFERROR(__xludf.DUMMYFUNCTION("""COMPUTED_VALUE"""),9481506779)</f>
        <v>9481506779</v>
      </c>
    </row>
    <row r="95" spans="1:5" ht="12.5">
      <c r="A95" s="42" t="str">
        <f ca="1">IFERROR(__xludf.DUMMYFUNCTION("""COMPUTED_VALUE"""),"Jenifer C. Bigcas")</f>
        <v>Jenifer C. Bigcas</v>
      </c>
      <c r="B95" s="42" t="str">
        <f ca="1">IFERROR(__xludf.DUMMYFUNCTION("""COMPUTED_VALUE"""),"F")</f>
        <v>F</v>
      </c>
      <c r="C95" s="42" t="str">
        <f ca="1">IFERROR(__xludf.DUMMYFUNCTION("""COMPUTED_VALUE"""),"Brgy 4")</f>
        <v>Brgy 4</v>
      </c>
      <c r="D95" s="42"/>
      <c r="E95" s="42">
        <f ca="1">IFERROR(__xludf.DUMMYFUNCTION("""COMPUTED_VALUE"""),9096347963)</f>
        <v>9096347963</v>
      </c>
    </row>
    <row r="96" spans="1:5" ht="12.5">
      <c r="A96" s="42" t="str">
        <f ca="1">IFERROR(__xludf.DUMMYFUNCTION("""COMPUTED_VALUE"""),"Elaine Karen Tamar")</f>
        <v>Elaine Karen Tamar</v>
      </c>
      <c r="B96" s="42" t="str">
        <f ca="1">IFERROR(__xludf.DUMMYFUNCTION("""COMPUTED_VALUE"""),"F")</f>
        <v>F</v>
      </c>
      <c r="C96" s="42" t="str">
        <f ca="1">IFERROR(__xludf.DUMMYFUNCTION("""COMPUTED_VALUE"""),"Comagascas, Cabadbaran City")</f>
        <v>Comagascas, Cabadbaran City</v>
      </c>
      <c r="D96" s="42"/>
      <c r="E96" s="42">
        <f ca="1">IFERROR(__xludf.DUMMYFUNCTION("""COMPUTED_VALUE"""),9635809696)</f>
        <v>9635809696</v>
      </c>
    </row>
    <row r="97" spans="1:5" ht="12.5">
      <c r="A97" s="42" t="str">
        <f ca="1">IFERROR(__xludf.DUMMYFUNCTION("""COMPUTED_VALUE"""),"Eunice Anika Arcipe")</f>
        <v>Eunice Anika Arcipe</v>
      </c>
      <c r="B97" s="42" t="str">
        <f ca="1">IFERROR(__xludf.DUMMYFUNCTION("""COMPUTED_VALUE"""),"F")</f>
        <v>F</v>
      </c>
      <c r="C97" s="42" t="str">
        <f ca="1">IFERROR(__xludf.DUMMYFUNCTION("""COMPUTED_VALUE"""),"Del Pilar, Cabadbaran City")</f>
        <v>Del Pilar, Cabadbaran City</v>
      </c>
      <c r="D97" s="42" t="str">
        <f ca="1">IFERROR(__xludf.DUMMYFUNCTION("""COMPUTED_VALUE"""),"BSED")</f>
        <v>BSED</v>
      </c>
      <c r="E97" s="42">
        <f ca="1">IFERROR(__xludf.DUMMYFUNCTION("""COMPUTED_VALUE"""),9461055451)</f>
        <v>9461055451</v>
      </c>
    </row>
    <row r="98" spans="1:5" ht="12.5">
      <c r="A98" s="42" t="str">
        <f ca="1">IFERROR(__xludf.DUMMYFUNCTION("""COMPUTED_VALUE"""),"Neshell Bon J. Miro")</f>
        <v>Neshell Bon J. Miro</v>
      </c>
      <c r="B98" s="42" t="str">
        <f ca="1">IFERROR(__xludf.DUMMYFUNCTION("""COMPUTED_VALUE"""),"F")</f>
        <v>F</v>
      </c>
      <c r="C98" s="42" t="str">
        <f ca="1">IFERROR(__xludf.DUMMYFUNCTION("""COMPUTED_VALUE"""),"Comagascas, Cabadbaran City")</f>
        <v>Comagascas, Cabadbaran City</v>
      </c>
      <c r="D98" s="42"/>
      <c r="E98" s="42">
        <f ca="1">IFERROR(__xludf.DUMMYFUNCTION("""COMPUTED_VALUE"""),9078332156)</f>
        <v>9078332156</v>
      </c>
    </row>
    <row r="99" spans="1:5" ht="12.5">
      <c r="A99" s="42" t="str">
        <f ca="1">IFERROR(__xludf.DUMMYFUNCTION("""COMPUTED_VALUE"""),"Aileen F. Omapoc")</f>
        <v>Aileen F. Omapoc</v>
      </c>
      <c r="B99" s="42" t="str">
        <f ca="1">IFERROR(__xludf.DUMMYFUNCTION("""COMPUTED_VALUE"""),"F")</f>
        <v>F</v>
      </c>
      <c r="C99" s="42" t="str">
        <f ca="1">IFERROR(__xludf.DUMMYFUNCTION("""COMPUTED_VALUE"""),"Calibunan, Cabadbaran City")</f>
        <v>Calibunan, Cabadbaran City</v>
      </c>
      <c r="D99" s="42" t="str">
        <f ca="1">IFERROR(__xludf.DUMMYFUNCTION("""COMPUTED_VALUE"""),"BEED")</f>
        <v>BEED</v>
      </c>
      <c r="E99" s="42">
        <f ca="1">IFERROR(__xludf.DUMMYFUNCTION("""COMPUTED_VALUE"""),9633431428)</f>
        <v>9633431428</v>
      </c>
    </row>
    <row r="100" spans="1:5" ht="12.5">
      <c r="A100" s="42" t="str">
        <f ca="1">IFERROR(__xludf.DUMMYFUNCTION("""COMPUTED_VALUE"""),"Jeanirose P. Algodon")</f>
        <v>Jeanirose P. Algodon</v>
      </c>
      <c r="B100" s="42" t="str">
        <f ca="1">IFERROR(__xludf.DUMMYFUNCTION("""COMPUTED_VALUE"""),"F")</f>
        <v>F</v>
      </c>
      <c r="C100" s="42" t="str">
        <f ca="1">IFERROR(__xludf.DUMMYFUNCTION("""COMPUTED_VALUE"""),"Katugasan, Cabadbaran City")</f>
        <v>Katugasan, Cabadbaran City</v>
      </c>
      <c r="D100" s="42"/>
      <c r="E100" s="42">
        <f ca="1">IFERROR(__xludf.DUMMYFUNCTION("""COMPUTED_VALUE"""),9628954909)</f>
        <v>9628954909</v>
      </c>
    </row>
    <row r="101" spans="1:5" ht="12.5">
      <c r="A101" s="42" t="str">
        <f ca="1">IFERROR(__xludf.DUMMYFUNCTION("""COMPUTED_VALUE"""),"Arjhon P. Aliosada")</f>
        <v>Arjhon P. Aliosada</v>
      </c>
      <c r="B101" s="42" t="str">
        <f ca="1">IFERROR(__xludf.DUMMYFUNCTION("""COMPUTED_VALUE"""),"M")</f>
        <v>M</v>
      </c>
      <c r="C101" s="42" t="str">
        <f ca="1">IFERROR(__xludf.DUMMYFUNCTION("""COMPUTED_VALUE"""),"Buenavista")</f>
        <v>Buenavista</v>
      </c>
      <c r="D101" s="42"/>
      <c r="E101" s="42">
        <f ca="1">IFERROR(__xludf.DUMMYFUNCTION("""COMPUTED_VALUE"""),9530981869)</f>
        <v>9530981869</v>
      </c>
    </row>
    <row r="102" spans="1:5" ht="12.5">
      <c r="A102" s="42" t="str">
        <f ca="1">IFERROR(__xludf.DUMMYFUNCTION("""COMPUTED_VALUE"""),"Lloyd James Galabay")</f>
        <v>Lloyd James Galabay</v>
      </c>
      <c r="B102" s="42" t="str">
        <f ca="1">IFERROR(__xludf.DUMMYFUNCTION("""COMPUTED_VALUE"""),"M")</f>
        <v>M</v>
      </c>
      <c r="C102" s="42" t="str">
        <f ca="1">IFERROR(__xludf.DUMMYFUNCTION("""COMPUTED_VALUE"""),"Mabini")</f>
        <v>Mabini</v>
      </c>
      <c r="D102" s="42"/>
      <c r="E102" s="42">
        <f ca="1">IFERROR(__xludf.DUMMYFUNCTION("""COMPUTED_VALUE"""),9700583817)</f>
        <v>9700583817</v>
      </c>
    </row>
    <row r="103" spans="1:5" ht="12.5">
      <c r="A103" s="42" t="str">
        <f ca="1">IFERROR(__xludf.DUMMYFUNCTION("""COMPUTED_VALUE"""),"Judelyn Mahinay")</f>
        <v>Judelyn Mahinay</v>
      </c>
      <c r="B103" s="42" t="str">
        <f ca="1">IFERROR(__xludf.DUMMYFUNCTION("""COMPUTED_VALUE"""),"F")</f>
        <v>F</v>
      </c>
      <c r="C103" s="42" t="str">
        <f ca="1">IFERROR(__xludf.DUMMYFUNCTION("""COMPUTED_VALUE"""),"Kauswagan, Cabadbaran City")</f>
        <v>Kauswagan, Cabadbaran City</v>
      </c>
      <c r="D103" s="42" t="str">
        <f ca="1">IFERROR(__xludf.DUMMYFUNCTION("""COMPUTED_VALUE"""),"BSCS")</f>
        <v>BSCS</v>
      </c>
      <c r="E103" s="42">
        <f ca="1">IFERROR(__xludf.DUMMYFUNCTION("""COMPUTED_VALUE"""),9639697234)</f>
        <v>9639697234</v>
      </c>
    </row>
    <row r="104" spans="1:5" ht="12.5">
      <c r="A104" s="42" t="str">
        <f ca="1">IFERROR(__xludf.DUMMYFUNCTION("""COMPUTED_VALUE"""),"Angelou C. Coco")</f>
        <v>Angelou C. Coco</v>
      </c>
      <c r="B104" s="42" t="str">
        <f ca="1">IFERROR(__xludf.DUMMYFUNCTION("""COMPUTED_VALUE"""),"F")</f>
        <v>F</v>
      </c>
      <c r="C104" s="42" t="str">
        <f ca="1">IFERROR(__xludf.DUMMYFUNCTION("""COMPUTED_VALUE"""),"Cabadbaran City")</f>
        <v>Cabadbaran City</v>
      </c>
      <c r="D104" s="42" t="str">
        <f ca="1">IFERROR(__xludf.DUMMYFUNCTION("""COMPUTED_VALUE"""),"BEED")</f>
        <v>BEED</v>
      </c>
      <c r="E104" s="42">
        <f ca="1">IFERROR(__xludf.DUMMYFUNCTION("""COMPUTED_VALUE"""),9517761418)</f>
        <v>9517761418</v>
      </c>
    </row>
    <row r="105" spans="1:5" ht="12.5">
      <c r="A105" s="42" t="str">
        <f ca="1">IFERROR(__xludf.DUMMYFUNCTION("""COMPUTED_VALUE"""),"Mary Love Bactong")</f>
        <v>Mary Love Bactong</v>
      </c>
      <c r="B105" s="42" t="str">
        <f ca="1">IFERROR(__xludf.DUMMYFUNCTION("""COMPUTED_VALUE"""),"F")</f>
        <v>F</v>
      </c>
      <c r="C105" s="42" t="str">
        <f ca="1">IFERROR(__xludf.DUMMYFUNCTION("""COMPUTED_VALUE"""),"Sibagat")</f>
        <v>Sibagat</v>
      </c>
      <c r="D105" s="42" t="str">
        <f ca="1">IFERROR(__xludf.DUMMYFUNCTION("""COMPUTED_VALUE"""),"BSTU")</f>
        <v>BSTU</v>
      </c>
      <c r="E105" s="42">
        <f ca="1">IFERROR(__xludf.DUMMYFUNCTION("""COMPUTED_VALUE"""),9665490085)</f>
        <v>9665490085</v>
      </c>
    </row>
    <row r="106" spans="1:5" ht="12.5">
      <c r="A106" s="42" t="str">
        <f ca="1">IFERROR(__xludf.DUMMYFUNCTION("""COMPUTED_VALUE"""),"Olive Jean T. Tamboy")</f>
        <v>Olive Jean T. Tamboy</v>
      </c>
      <c r="B106" s="42" t="str">
        <f ca="1">IFERROR(__xludf.DUMMYFUNCTION("""COMPUTED_VALUE"""),"F")</f>
        <v>F</v>
      </c>
      <c r="C106" s="42" t="str">
        <f ca="1">IFERROR(__xludf.DUMMYFUNCTION("""COMPUTED_VALUE"""),"Cabadbaran City")</f>
        <v>Cabadbaran City</v>
      </c>
      <c r="D106" s="42" t="str">
        <f ca="1">IFERROR(__xludf.DUMMYFUNCTION("""COMPUTED_VALUE"""),"BEED")</f>
        <v>BEED</v>
      </c>
      <c r="E106" s="42">
        <f ca="1">IFERROR(__xludf.DUMMYFUNCTION("""COMPUTED_VALUE"""),9101542257)</f>
        <v>9101542257</v>
      </c>
    </row>
    <row r="107" spans="1:5" ht="12.5">
      <c r="A107" s="42" t="str">
        <f ca="1">IFERROR(__xludf.DUMMYFUNCTION("""COMPUTED_VALUE"""),"Ivan C. Alacre")</f>
        <v>Ivan C. Alacre</v>
      </c>
      <c r="B107" s="42" t="str">
        <f ca="1">IFERROR(__xludf.DUMMYFUNCTION("""COMPUTED_VALUE"""),"M")</f>
        <v>M</v>
      </c>
      <c r="C107" s="42"/>
      <c r="D107" s="42"/>
      <c r="E107" s="42">
        <f ca="1">IFERROR(__xludf.DUMMYFUNCTION("""COMPUTED_VALUE"""),9102311238)</f>
        <v>9102311238</v>
      </c>
    </row>
    <row r="108" spans="1:5" ht="12.5">
      <c r="A108" s="42" t="str">
        <f ca="1">IFERROR(__xludf.DUMMYFUNCTION("""COMPUTED_VALUE"""),"Cyrille Bagaipo")</f>
        <v>Cyrille Bagaipo</v>
      </c>
      <c r="B108" s="42" t="str">
        <f ca="1">IFERROR(__xludf.DUMMYFUNCTION("""COMPUTED_VALUE"""),"M")</f>
        <v>M</v>
      </c>
      <c r="C108" s="42"/>
      <c r="D108" s="42" t="str">
        <f ca="1">IFERROR(__xludf.DUMMYFUNCTION("""COMPUTED_VALUE"""),"BSA")</f>
        <v>BSA</v>
      </c>
      <c r="E108" s="42">
        <f ca="1">IFERROR(__xludf.DUMMYFUNCTION("""COMPUTED_VALUE"""),9501681589)</f>
        <v>9501681589</v>
      </c>
    </row>
    <row r="109" spans="1:5" ht="12.5">
      <c r="A109" s="42" t="str">
        <f ca="1">IFERROR(__xludf.DUMMYFUNCTION("""COMPUTED_VALUE"""),"French Dominique R. Deligero")</f>
        <v>French Dominique R. Deligero</v>
      </c>
      <c r="B109" s="42" t="str">
        <f ca="1">IFERROR(__xludf.DUMMYFUNCTION("""COMPUTED_VALUE"""),"M")</f>
        <v>M</v>
      </c>
      <c r="C109" s="42"/>
      <c r="D109" s="42" t="str">
        <f ca="1">IFERROR(__xludf.DUMMYFUNCTION("""COMPUTED_VALUE"""),"BSF")</f>
        <v>BSF</v>
      </c>
      <c r="E109" s="42">
        <f ca="1">IFERROR(__xludf.DUMMYFUNCTION("""COMPUTED_VALUE"""),9700931278)</f>
        <v>9700931278</v>
      </c>
    </row>
    <row r="110" spans="1:5" ht="12.5">
      <c r="A110" s="42" t="str">
        <f ca="1">IFERROR(__xludf.DUMMYFUNCTION("""COMPUTED_VALUE"""),"Jomarie D. Berdera")</f>
        <v>Jomarie D. Berdera</v>
      </c>
      <c r="B110" s="42" t="str">
        <f ca="1">IFERROR(__xludf.DUMMYFUNCTION("""COMPUTED_VALUE"""),"M")</f>
        <v>M</v>
      </c>
      <c r="C110" s="42"/>
      <c r="D110" s="42"/>
      <c r="E110" s="42">
        <f ca="1">IFERROR(__xludf.DUMMYFUNCTION("""COMPUTED_VALUE"""),9946099010)</f>
        <v>9946099010</v>
      </c>
    </row>
    <row r="111" spans="1:5" ht="12.5">
      <c r="A111" s="42" t="str">
        <f ca="1">IFERROR(__xludf.DUMMYFUNCTION("""COMPUTED_VALUE"""),"Jerald P. Dumdum")</f>
        <v>Jerald P. Dumdum</v>
      </c>
      <c r="B111" s="42" t="str">
        <f ca="1">IFERROR(__xludf.DUMMYFUNCTION("""COMPUTED_VALUE"""),"M")</f>
        <v>M</v>
      </c>
      <c r="C111" s="42"/>
      <c r="D111" s="42"/>
      <c r="E111" s="42">
        <f ca="1">IFERROR(__xludf.DUMMYFUNCTION("""COMPUTED_VALUE"""),9109380969)</f>
        <v>9109380969</v>
      </c>
    </row>
    <row r="112" spans="1:5" ht="12.5">
      <c r="A112" s="42" t="str">
        <f ca="1">IFERROR(__xludf.DUMMYFUNCTION("""COMPUTED_VALUE"""),"Jade Carumba")</f>
        <v>Jade Carumba</v>
      </c>
      <c r="B112" s="42" t="str">
        <f ca="1">IFERROR(__xludf.DUMMYFUNCTION("""COMPUTED_VALUE"""),"M")</f>
        <v>M</v>
      </c>
      <c r="C112" s="42"/>
      <c r="D112" s="42"/>
      <c r="E112" s="42">
        <f ca="1">IFERROR(__xludf.DUMMYFUNCTION("""COMPUTED_VALUE"""),9514899896)</f>
        <v>9514899896</v>
      </c>
    </row>
    <row r="113" spans="1:5" ht="12.5">
      <c r="A113" s="42" t="str">
        <f ca="1">IFERROR(__xludf.DUMMYFUNCTION("""COMPUTED_VALUE"""),"Manerel Mae L. Neri")</f>
        <v>Manerel Mae L. Neri</v>
      </c>
      <c r="B113" s="42" t="str">
        <f ca="1">IFERROR(__xludf.DUMMYFUNCTION("""COMPUTED_VALUE"""),"F")</f>
        <v>F</v>
      </c>
      <c r="C113" s="42"/>
      <c r="D113" s="42"/>
      <c r="E113" s="42">
        <f ca="1">IFERROR(__xludf.DUMMYFUNCTION("""COMPUTED_VALUE"""),9500029832)</f>
        <v>9500029832</v>
      </c>
    </row>
    <row r="114" spans="1:5" ht="12.5">
      <c r="A114" s="42" t="str">
        <f ca="1">IFERROR(__xludf.DUMMYFUNCTION("""COMPUTED_VALUE"""),"Merabel M. Calinawan")</f>
        <v>Merabel M. Calinawan</v>
      </c>
      <c r="B114" s="42" t="str">
        <f ca="1">IFERROR(__xludf.DUMMYFUNCTION("""COMPUTED_VALUE"""),"F")</f>
        <v>F</v>
      </c>
      <c r="C114" s="42"/>
      <c r="D114" s="42"/>
      <c r="E114" s="42">
        <f ca="1">IFERROR(__xludf.DUMMYFUNCTION("""COMPUTED_VALUE"""),9939131481)</f>
        <v>9939131481</v>
      </c>
    </row>
    <row r="115" spans="1:5" ht="12.5">
      <c r="A115" s="42" t="str">
        <f ca="1">IFERROR(__xludf.DUMMYFUNCTION("""COMPUTED_VALUE"""),"Liebe L. Agay Jr.")</f>
        <v>Liebe L. Agay Jr.</v>
      </c>
      <c r="B115" s="42" t="str">
        <f ca="1">IFERROR(__xludf.DUMMYFUNCTION("""COMPUTED_VALUE"""),"M")</f>
        <v>M</v>
      </c>
      <c r="C115" s="42"/>
      <c r="D115" s="42" t="str">
        <f ca="1">IFERROR(__xludf.DUMMYFUNCTION("""COMPUTED_VALUE"""),"BS - Crim")</f>
        <v>BS - Crim</v>
      </c>
      <c r="E115" s="42">
        <f ca="1">IFERROR(__xludf.DUMMYFUNCTION("""COMPUTED_VALUE"""),9691329128)</f>
        <v>9691329128</v>
      </c>
    </row>
    <row r="116" spans="1:5" ht="12.5">
      <c r="A116" s="42" t="str">
        <f ca="1">IFERROR(__xludf.DUMMYFUNCTION("""COMPUTED_VALUE"""),"Mech Niño L. Villa")</f>
        <v>Mech Niño L. Villa</v>
      </c>
      <c r="B116" s="42" t="str">
        <f ca="1">IFERROR(__xludf.DUMMYFUNCTION("""COMPUTED_VALUE"""),"M")</f>
        <v>M</v>
      </c>
      <c r="C116" s="42"/>
      <c r="D116" s="42" t="str">
        <f ca="1">IFERROR(__xludf.DUMMYFUNCTION("""COMPUTED_VALUE"""),"BS - Crim")</f>
        <v>BS - Crim</v>
      </c>
      <c r="E116" s="42">
        <f ca="1">IFERROR(__xludf.DUMMYFUNCTION("""COMPUTED_VALUE"""),9022792917)</f>
        <v>9022792917</v>
      </c>
    </row>
    <row r="117" spans="1:5" ht="12.5">
      <c r="A117" s="42" t="str">
        <f ca="1">IFERROR(__xludf.DUMMYFUNCTION("""COMPUTED_VALUE"""),"Aiza R. Pamisa")</f>
        <v>Aiza R. Pamisa</v>
      </c>
      <c r="B117" s="42" t="str">
        <f ca="1">IFERROR(__xludf.DUMMYFUNCTION("""COMPUTED_VALUE"""),"F")</f>
        <v>F</v>
      </c>
      <c r="C117" s="42"/>
      <c r="D117" s="42"/>
      <c r="E117" s="42">
        <f ca="1">IFERROR(__xludf.DUMMYFUNCTION("""COMPUTED_VALUE"""),9051139314)</f>
        <v>9051139314</v>
      </c>
    </row>
    <row r="118" spans="1:5" ht="12.5">
      <c r="A118" s="42" t="str">
        <f ca="1">IFERROR(__xludf.DUMMYFUNCTION("""COMPUTED_VALUE"""),"Dinzoo Mangitngit")</f>
        <v>Dinzoo Mangitngit</v>
      </c>
      <c r="B118" s="42" t="str">
        <f ca="1">IFERROR(__xludf.DUMMYFUNCTION("""COMPUTED_VALUE"""),"M")</f>
        <v>M</v>
      </c>
      <c r="C118" s="42"/>
      <c r="D118" s="42" t="str">
        <f ca="1">IFERROR(__xludf.DUMMYFUNCTION("""COMPUTED_VALUE"""),"BSBA")</f>
        <v>BSBA</v>
      </c>
      <c r="E118" s="42">
        <f ca="1">IFERROR(__xludf.DUMMYFUNCTION("""COMPUTED_VALUE"""),99505967201)</f>
        <v>99505967201</v>
      </c>
    </row>
    <row r="119" spans="1:5" ht="12.5">
      <c r="A119" s="42" t="str">
        <f ca="1">IFERROR(__xludf.DUMMYFUNCTION("""COMPUTED_VALUE"""),"Dantecris P. Villacorta")</f>
        <v>Dantecris P. Villacorta</v>
      </c>
      <c r="B119" s="42" t="str">
        <f ca="1">IFERROR(__xludf.DUMMYFUNCTION("""COMPUTED_VALUE"""),"M")</f>
        <v>M</v>
      </c>
      <c r="C119" s="42"/>
      <c r="D119" s="42" t="str">
        <f ca="1">IFERROR(__xludf.DUMMYFUNCTION("""COMPUTED_VALUE"""),"BS - Crim")</f>
        <v>BS - Crim</v>
      </c>
      <c r="E119" s="42">
        <f ca="1">IFERROR(__xludf.DUMMYFUNCTION("""COMPUTED_VALUE"""),9973992447)</f>
        <v>9973992447</v>
      </c>
    </row>
    <row r="120" spans="1:5" ht="12.5">
      <c r="A120" s="42" t="str">
        <f ca="1">IFERROR(__xludf.DUMMYFUNCTION("""COMPUTED_VALUE"""),"RC A. Coronel")</f>
        <v>RC A. Coronel</v>
      </c>
      <c r="B120" s="42" t="str">
        <f ca="1">IFERROR(__xludf.DUMMYFUNCTION("""COMPUTED_VALUE"""),"F")</f>
        <v>F</v>
      </c>
      <c r="C120" s="42"/>
      <c r="D120" s="42"/>
      <c r="E120" s="42">
        <f ca="1">IFERROR(__xludf.DUMMYFUNCTION("""COMPUTED_VALUE"""),9946463929)</f>
        <v>9946463929</v>
      </c>
    </row>
    <row r="121" spans="1:5" ht="12.5">
      <c r="A121" s="42" t="str">
        <f ca="1">IFERROR(__xludf.DUMMYFUNCTION("""COMPUTED_VALUE"""),"Ben M. Lopez")</f>
        <v>Ben M. Lopez</v>
      </c>
      <c r="B121" s="42" t="str">
        <f ca="1">IFERROR(__xludf.DUMMYFUNCTION("""COMPUTED_VALUE"""),"M")</f>
        <v>M</v>
      </c>
      <c r="C121" s="42"/>
      <c r="D121" s="42" t="str">
        <f ca="1">IFERROR(__xludf.DUMMYFUNCTION("""COMPUTED_VALUE"""),"Vocational")</f>
        <v>Vocational</v>
      </c>
      <c r="E121" s="42">
        <f ca="1">IFERROR(__xludf.DUMMYFUNCTION("""COMPUTED_VALUE"""),9484846609)</f>
        <v>9484846609</v>
      </c>
    </row>
    <row r="122" spans="1:5" ht="12.5">
      <c r="A122" s="42" t="str">
        <f ca="1">IFERROR(__xludf.DUMMYFUNCTION("""COMPUTED_VALUE"""),"Don Lloyd B. Cabalan")</f>
        <v>Don Lloyd B. Cabalan</v>
      </c>
      <c r="B122" s="42" t="str">
        <f ca="1">IFERROR(__xludf.DUMMYFUNCTION("""COMPUTED_VALUE"""),"M")</f>
        <v>M</v>
      </c>
      <c r="C122" s="42"/>
      <c r="D122" s="42"/>
      <c r="E122" s="42">
        <f ca="1">IFERROR(__xludf.DUMMYFUNCTION("""COMPUTED_VALUE"""),9274051739)</f>
        <v>9274051739</v>
      </c>
    </row>
    <row r="123" spans="1:5" ht="12.5">
      <c r="A123" s="42" t="str">
        <f ca="1">IFERROR(__xludf.DUMMYFUNCTION("""COMPUTED_VALUE"""),"Cherry P. Elizian")</f>
        <v>Cherry P. Elizian</v>
      </c>
      <c r="B123" s="42" t="str">
        <f ca="1">IFERROR(__xludf.DUMMYFUNCTION("""COMPUTED_VALUE"""),"F")</f>
        <v>F</v>
      </c>
      <c r="C123" s="42"/>
      <c r="D123" s="42"/>
      <c r="E123" s="42">
        <f ca="1">IFERROR(__xludf.DUMMYFUNCTION("""COMPUTED_VALUE"""),9932498438)</f>
        <v>9932498438</v>
      </c>
    </row>
    <row r="124" spans="1:5" ht="12.5">
      <c r="A124" s="42" t="str">
        <f ca="1">IFERROR(__xludf.DUMMYFUNCTION("""COMPUTED_VALUE"""),"Shahoney Hibanada")</f>
        <v>Shahoney Hibanada</v>
      </c>
      <c r="B124" s="42" t="str">
        <f ca="1">IFERROR(__xludf.DUMMYFUNCTION("""COMPUTED_VALUE"""),"F")</f>
        <v>F</v>
      </c>
      <c r="C124" s="42"/>
      <c r="D124" s="42"/>
      <c r="E124" s="42">
        <f ca="1">IFERROR(__xludf.DUMMYFUNCTION("""COMPUTED_VALUE"""),9759633004)</f>
        <v>9759633004</v>
      </c>
    </row>
    <row r="125" spans="1:5" ht="12.5">
      <c r="A125" s="42" t="str">
        <f ca="1">IFERROR(__xludf.DUMMYFUNCTION("""COMPUTED_VALUE"""),"Marjun Flores")</f>
        <v>Marjun Flores</v>
      </c>
      <c r="B125" s="42" t="str">
        <f ca="1">IFERROR(__xludf.DUMMYFUNCTION("""COMPUTED_VALUE"""),"M")</f>
        <v>M</v>
      </c>
      <c r="C125" s="42"/>
      <c r="D125" s="42"/>
      <c r="E125" s="42">
        <f ca="1">IFERROR(__xludf.DUMMYFUNCTION("""COMPUTED_VALUE"""),9709428710)</f>
        <v>9709428710</v>
      </c>
    </row>
    <row r="126" spans="1:5" ht="12.5">
      <c r="A126" s="42" t="str">
        <f ca="1">IFERROR(__xludf.DUMMYFUNCTION("""COMPUTED_VALUE"""),"Lordjane Manliguez")</f>
        <v>Lordjane Manliguez</v>
      </c>
      <c r="B126" s="42" t="str">
        <f ca="1">IFERROR(__xludf.DUMMYFUNCTION("""COMPUTED_VALUE"""),"F")</f>
        <v>F</v>
      </c>
      <c r="C126" s="42"/>
      <c r="D126" s="42"/>
      <c r="E126" s="42">
        <f ca="1">IFERROR(__xludf.DUMMYFUNCTION("""COMPUTED_VALUE"""),9276206980)</f>
        <v>9276206980</v>
      </c>
    </row>
    <row r="127" spans="1:5" ht="12.5">
      <c r="A127" s="42" t="str">
        <f ca="1">IFERROR(__xludf.DUMMYFUNCTION("""COMPUTED_VALUE"""),"Alejandro Gumapac Jr.")</f>
        <v>Alejandro Gumapac Jr.</v>
      </c>
      <c r="B127" s="42" t="str">
        <f ca="1">IFERROR(__xludf.DUMMYFUNCTION("""COMPUTED_VALUE"""),"M")</f>
        <v>M</v>
      </c>
      <c r="C127" s="42"/>
      <c r="D127" s="42" t="str">
        <f ca="1">IFERROR(__xludf.DUMMYFUNCTION("""COMPUTED_VALUE"""),"Truck Driver")</f>
        <v>Truck Driver</v>
      </c>
      <c r="E127" s="42">
        <f ca="1">IFERROR(__xludf.DUMMYFUNCTION("""COMPUTED_VALUE"""),9207377557)</f>
        <v>9207377557</v>
      </c>
    </row>
    <row r="128" spans="1:5" ht="12.5">
      <c r="A128" s="42" t="str">
        <f ca="1">IFERROR(__xludf.DUMMYFUNCTION("""COMPUTED_VALUE"""),"Jie Ann G. Arbiol")</f>
        <v>Jie Ann G. Arbiol</v>
      </c>
      <c r="B128" s="42" t="str">
        <f ca="1">IFERROR(__xludf.DUMMYFUNCTION("""COMPUTED_VALUE"""),"F")</f>
        <v>F</v>
      </c>
      <c r="C128" s="42"/>
      <c r="D128" s="42"/>
      <c r="E128" s="42">
        <f ca="1">IFERROR(__xludf.DUMMYFUNCTION("""COMPUTED_VALUE"""),9455431169)</f>
        <v>9455431169</v>
      </c>
    </row>
    <row r="129" spans="1:5" ht="12.5">
      <c r="A129" s="42" t="str">
        <f ca="1">IFERROR(__xludf.DUMMYFUNCTION("""COMPUTED_VALUE"""),"Mary Greaty Vida")</f>
        <v>Mary Greaty Vida</v>
      </c>
      <c r="B129" s="42" t="str">
        <f ca="1">IFERROR(__xludf.DUMMYFUNCTION("""COMPUTED_VALUE"""),"F")</f>
        <v>F</v>
      </c>
      <c r="C129" s="42"/>
      <c r="D129" s="42"/>
      <c r="E129" s="42">
        <f ca="1">IFERROR(__xludf.DUMMYFUNCTION("""COMPUTED_VALUE"""),9169982153)</f>
        <v>9169982153</v>
      </c>
    </row>
    <row r="130" spans="1:5" ht="12.5">
      <c r="A130" s="42" t="str">
        <f ca="1">IFERROR(__xludf.DUMMYFUNCTION("""COMPUTED_VALUE"""),"Micah MaeToledo")</f>
        <v>Micah MaeToledo</v>
      </c>
      <c r="B130" s="42" t="str">
        <f ca="1">IFERROR(__xludf.DUMMYFUNCTION("""COMPUTED_VALUE"""),"F")</f>
        <v>F</v>
      </c>
      <c r="C130" s="42"/>
      <c r="D130" s="42" t="str">
        <f ca="1">IFERROR(__xludf.DUMMYFUNCTION("""COMPUTED_VALUE"""),"Office Staff")</f>
        <v>Office Staff</v>
      </c>
      <c r="E130" s="42">
        <f ca="1">IFERROR(__xludf.DUMMYFUNCTION("""COMPUTED_VALUE"""),9639464645)</f>
        <v>9639464645</v>
      </c>
    </row>
    <row r="131" spans="1:5" ht="12.5">
      <c r="A131" s="42" t="str">
        <f ca="1">IFERROR(__xludf.DUMMYFUNCTION("""COMPUTED_VALUE"""),"Dianne P. Alvez")</f>
        <v>Dianne P. Alvez</v>
      </c>
      <c r="B131" s="42" t="str">
        <f ca="1">IFERROR(__xludf.DUMMYFUNCTION("""COMPUTED_VALUE"""),"F")</f>
        <v>F</v>
      </c>
      <c r="C131" s="42"/>
      <c r="D131" s="42" t="str">
        <f ca="1">IFERROR(__xludf.DUMMYFUNCTION("""COMPUTED_VALUE"""),"Office Staff")</f>
        <v>Office Staff</v>
      </c>
      <c r="E131" s="42">
        <f ca="1">IFERROR(__xludf.DUMMYFUNCTION("""COMPUTED_VALUE"""),9167607394)</f>
        <v>9167607394</v>
      </c>
    </row>
    <row r="132" spans="1:5" ht="12.5">
      <c r="A132" s="42" t="str">
        <f ca="1">IFERROR(__xludf.DUMMYFUNCTION("""COMPUTED_VALUE"""),"Kent L. Macasunot")</f>
        <v>Kent L. Macasunot</v>
      </c>
      <c r="B132" s="42" t="str">
        <f ca="1">IFERROR(__xludf.DUMMYFUNCTION("""COMPUTED_VALUE"""),"M")</f>
        <v>M</v>
      </c>
      <c r="C132" s="42" t="str">
        <f ca="1">IFERROR(__xludf.DUMMYFUNCTION("""COMPUTED_VALUE"""),"Cabayawa")</f>
        <v>Cabayawa</v>
      </c>
      <c r="D132" s="42"/>
      <c r="E132" s="42">
        <f ca="1">IFERROR(__xludf.DUMMYFUNCTION("""COMPUTED_VALUE"""),9671272264)</f>
        <v>9671272264</v>
      </c>
    </row>
    <row r="133" spans="1:5" ht="12.5">
      <c r="A133" s="42" t="str">
        <f ca="1">IFERROR(__xludf.DUMMYFUNCTION("""COMPUTED_VALUE"""),"Adrian O. Galido")</f>
        <v>Adrian O. Galido</v>
      </c>
      <c r="B133" s="42" t="str">
        <f ca="1">IFERROR(__xludf.DUMMYFUNCTION("""COMPUTED_VALUE"""),"M")</f>
        <v>M</v>
      </c>
      <c r="C133" s="42" t="str">
        <f ca="1">IFERROR(__xludf.DUMMYFUNCTION("""COMPUTED_VALUE"""),"Calamba")</f>
        <v>Calamba</v>
      </c>
      <c r="D133" s="42"/>
      <c r="E133" s="42">
        <f ca="1">IFERROR(__xludf.DUMMYFUNCTION("""COMPUTED_VALUE"""),9639577843)</f>
        <v>9639577843</v>
      </c>
    </row>
    <row r="134" spans="1:5" ht="12.5">
      <c r="A134" s="42" t="str">
        <f ca="1">IFERROR(__xludf.DUMMYFUNCTION("""COMPUTED_VALUE"""),"Andy Miro")</f>
        <v>Andy Miro</v>
      </c>
      <c r="B134" s="42" t="str">
        <f ca="1">IFERROR(__xludf.DUMMYFUNCTION("""COMPUTED_VALUE"""),"M")</f>
        <v>M</v>
      </c>
      <c r="C134" s="42" t="str">
        <f ca="1">IFERROR(__xludf.DUMMYFUNCTION("""COMPUTED_VALUE"""),"Comagascas")</f>
        <v>Comagascas</v>
      </c>
      <c r="D134" s="42"/>
      <c r="E134" s="42">
        <f ca="1">IFERROR(__xludf.DUMMYFUNCTION("""COMPUTED_VALUE"""),9942771031)</f>
        <v>9942771031</v>
      </c>
    </row>
    <row r="135" spans="1:5" ht="12.5">
      <c r="A135" s="42" t="str">
        <f ca="1">IFERROR(__xludf.DUMMYFUNCTION("""COMPUTED_VALUE"""),"Reymund Adriaque")</f>
        <v>Reymund Adriaque</v>
      </c>
      <c r="B135" s="42" t="str">
        <f ca="1">IFERROR(__xludf.DUMMYFUNCTION("""COMPUTED_VALUE"""),"M")</f>
        <v>M</v>
      </c>
      <c r="C135" s="42" t="str">
        <f ca="1">IFERROR(__xludf.DUMMYFUNCTION("""COMPUTED_VALUE"""),"Doña Rosario, Tubay")</f>
        <v>Doña Rosario, Tubay</v>
      </c>
      <c r="D135" s="42"/>
      <c r="E135" s="42">
        <f ca="1">IFERROR(__xludf.DUMMYFUNCTION("""COMPUTED_VALUE"""),9619541679)</f>
        <v>9619541679</v>
      </c>
    </row>
    <row r="136" spans="1:5" ht="12.5">
      <c r="A136" s="42" t="str">
        <f ca="1">IFERROR(__xludf.DUMMYFUNCTION("""COMPUTED_VALUE"""),"James Clyde D. Orayan")</f>
        <v>James Clyde D. Orayan</v>
      </c>
      <c r="B136" s="42" t="str">
        <f ca="1">IFERROR(__xludf.DUMMYFUNCTION("""COMPUTED_VALUE"""),"M")</f>
        <v>M</v>
      </c>
      <c r="C136" s="42" t="str">
        <f ca="1">IFERROR(__xludf.DUMMYFUNCTION("""COMPUTED_VALUE"""),"Tubay")</f>
        <v>Tubay</v>
      </c>
      <c r="D136" s="42"/>
      <c r="E136" s="42">
        <f ca="1">IFERROR(__xludf.DUMMYFUNCTION("""COMPUTED_VALUE"""),9153349135)</f>
        <v>9153349135</v>
      </c>
    </row>
    <row r="137" spans="1:5" ht="12.5">
      <c r="A137" s="42" t="str">
        <f ca="1">IFERROR(__xludf.DUMMYFUNCTION("""COMPUTED_VALUE"""),"Vergil Conde")</f>
        <v>Vergil Conde</v>
      </c>
      <c r="B137" s="42" t="str">
        <f ca="1">IFERROR(__xludf.DUMMYFUNCTION("""COMPUTED_VALUE"""),"M")</f>
        <v>M</v>
      </c>
      <c r="C137" s="42" t="str">
        <f ca="1">IFERROR(__xludf.DUMMYFUNCTION("""COMPUTED_VALUE"""),"Magallanes")</f>
        <v>Magallanes</v>
      </c>
      <c r="D137" s="42"/>
      <c r="E137" s="42">
        <f ca="1">IFERROR(__xludf.DUMMYFUNCTION("""COMPUTED_VALUE"""),9705451763)</f>
        <v>9705451763</v>
      </c>
    </row>
    <row r="138" spans="1:5" ht="12.5">
      <c r="A138" s="42" t="str">
        <f ca="1">IFERROR(__xludf.DUMMYFUNCTION("""COMPUTED_VALUE"""),"Nico Rhey F. Rafols")</f>
        <v>Nico Rhey F. Rafols</v>
      </c>
      <c r="B138" s="42" t="str">
        <f ca="1">IFERROR(__xludf.DUMMYFUNCTION("""COMPUTED_VALUE"""),"M")</f>
        <v>M</v>
      </c>
      <c r="C138" s="42" t="str">
        <f ca="1">IFERROR(__xludf.DUMMYFUNCTION("""COMPUTED_VALUE"""),"RTR")</f>
        <v>RTR</v>
      </c>
      <c r="D138" s="42"/>
      <c r="E138" s="42">
        <f ca="1">IFERROR(__xludf.DUMMYFUNCTION("""COMPUTED_VALUE"""),9503985210)</f>
        <v>9503985210</v>
      </c>
    </row>
    <row r="139" spans="1:5" ht="12.5">
      <c r="A139" s="42" t="str">
        <f ca="1">IFERROR(__xludf.DUMMYFUNCTION("""COMPUTED_VALUE"""),"Apple H. Tupal")</f>
        <v>Apple H. Tupal</v>
      </c>
      <c r="B139" s="42" t="str">
        <f ca="1">IFERROR(__xludf.DUMMYFUNCTION("""COMPUTED_VALUE"""),"F")</f>
        <v>F</v>
      </c>
      <c r="C139" s="42" t="str">
        <f ca="1">IFERROR(__xludf.DUMMYFUNCTION("""COMPUTED_VALUE"""),"Kauswagan")</f>
        <v>Kauswagan</v>
      </c>
      <c r="D139" s="42"/>
      <c r="E139" s="42">
        <f ca="1">IFERROR(__xludf.DUMMYFUNCTION("""COMPUTED_VALUE"""),9127050745)</f>
        <v>9127050745</v>
      </c>
    </row>
    <row r="140" spans="1:5" ht="12.5">
      <c r="A140" s="42" t="str">
        <f ca="1">IFERROR(__xludf.DUMMYFUNCTION("""COMPUTED_VALUE"""),"Kyla Dagohoy")</f>
        <v>Kyla Dagohoy</v>
      </c>
      <c r="B140" s="42" t="str">
        <f ca="1">IFERROR(__xludf.DUMMYFUNCTION("""COMPUTED_VALUE"""),"F")</f>
        <v>F</v>
      </c>
      <c r="C140" s="42" t="str">
        <f ca="1">IFERROR(__xludf.DUMMYFUNCTION("""COMPUTED_VALUE"""),"Mahaba")</f>
        <v>Mahaba</v>
      </c>
      <c r="D140" s="42"/>
      <c r="E140" s="42">
        <f ca="1">IFERROR(__xludf.DUMMYFUNCTION("""COMPUTED_VALUE"""),9857824724)</f>
        <v>9857824724</v>
      </c>
    </row>
    <row r="141" spans="1:5" ht="12.5">
      <c r="A141" s="42" t="str">
        <f ca="1">IFERROR(__xludf.DUMMYFUNCTION("""COMPUTED_VALUE"""),"Renato O. Hernandez")</f>
        <v>Renato O. Hernandez</v>
      </c>
      <c r="B141" s="42" t="str">
        <f ca="1">IFERROR(__xludf.DUMMYFUNCTION("""COMPUTED_VALUE"""),"M")</f>
        <v>M</v>
      </c>
      <c r="C141" s="42" t="str">
        <f ca="1">IFERROR(__xludf.DUMMYFUNCTION("""COMPUTED_VALUE"""),"Surigao")</f>
        <v>Surigao</v>
      </c>
      <c r="D141" s="42"/>
      <c r="E141" s="42">
        <f ca="1">IFERROR(__xludf.DUMMYFUNCTION("""COMPUTED_VALUE"""),9905415402)</f>
        <v>9905415402</v>
      </c>
    </row>
    <row r="142" spans="1:5" ht="12.5">
      <c r="A142" s="42" t="str">
        <f ca="1">IFERROR(__xludf.DUMMYFUNCTION("""COMPUTED_VALUE"""),"Dexter Hernandez")</f>
        <v>Dexter Hernandez</v>
      </c>
      <c r="B142" s="42" t="str">
        <f ca="1">IFERROR(__xludf.DUMMYFUNCTION("""COMPUTED_VALUE"""),"M")</f>
        <v>M</v>
      </c>
      <c r="C142" s="42" t="str">
        <f ca="1">IFERROR(__xludf.DUMMYFUNCTION("""COMPUTED_VALUE"""),"Sud. R")</f>
        <v>Sud. R</v>
      </c>
      <c r="D142" s="42"/>
      <c r="E142" s="42">
        <f ca="1">IFERROR(__xludf.DUMMYFUNCTION("""COMPUTED_VALUE"""),9302291970)</f>
        <v>9302291970</v>
      </c>
    </row>
    <row r="143" spans="1:5" ht="12.5">
      <c r="A143" s="42" t="str">
        <f ca="1">IFERROR(__xludf.DUMMYFUNCTION("""COMPUTED_VALUE"""),"Edenly Acaac")</f>
        <v>Edenly Acaac</v>
      </c>
      <c r="B143" s="42" t="str">
        <f ca="1">IFERROR(__xludf.DUMMYFUNCTION("""COMPUTED_VALUE"""),"F")</f>
        <v>F</v>
      </c>
      <c r="C143" s="42" t="str">
        <f ca="1">IFERROR(__xludf.DUMMYFUNCTION("""COMPUTED_VALUE"""),"Kauswagan")</f>
        <v>Kauswagan</v>
      </c>
      <c r="D143" s="42"/>
      <c r="E143" s="42">
        <f ca="1">IFERROR(__xludf.DUMMYFUNCTION("""COMPUTED_VALUE"""),9301671839)</f>
        <v>9301671839</v>
      </c>
    </row>
    <row r="144" spans="1:5" ht="12.5">
      <c r="A144" s="42" t="str">
        <f ca="1">IFERROR(__xludf.DUMMYFUNCTION("""COMPUTED_VALUE"""),"Phoebe Jane Patual")</f>
        <v>Phoebe Jane Patual</v>
      </c>
      <c r="B144" s="42" t="str">
        <f ca="1">IFERROR(__xludf.DUMMYFUNCTION("""COMPUTED_VALUE"""),"F")</f>
        <v>F</v>
      </c>
      <c r="C144" s="42" t="str">
        <f ca="1">IFERROR(__xludf.DUMMYFUNCTION("""COMPUTED_VALUE"""),"Soriano")</f>
        <v>Soriano</v>
      </c>
      <c r="D144" s="42"/>
      <c r="E144" s="42">
        <f ca="1">IFERROR(__xludf.DUMMYFUNCTION("""COMPUTED_VALUE"""),9301277695)</f>
        <v>9301277695</v>
      </c>
    </row>
    <row r="145" spans="1:5" ht="12.5">
      <c r="A145" s="42" t="str">
        <f ca="1">IFERROR(__xludf.DUMMYFUNCTION("""COMPUTED_VALUE"""),"Rose Leah Librero")</f>
        <v>Rose Leah Librero</v>
      </c>
      <c r="B145" s="42" t="str">
        <f ca="1">IFERROR(__xludf.DUMMYFUNCTION("""COMPUTED_VALUE"""),"F")</f>
        <v>F</v>
      </c>
      <c r="C145" s="42" t="str">
        <f ca="1">IFERROR(__xludf.DUMMYFUNCTION("""COMPUTED_VALUE"""),"Cabadbaran City")</f>
        <v>Cabadbaran City</v>
      </c>
      <c r="D145" s="42"/>
      <c r="E145" s="42">
        <f ca="1">IFERROR(__xludf.DUMMYFUNCTION("""COMPUTED_VALUE"""),9853110034)</f>
        <v>9853110034</v>
      </c>
    </row>
    <row r="146" spans="1:5" ht="12.5">
      <c r="A146" s="42" t="str">
        <f ca="1">IFERROR(__xludf.DUMMYFUNCTION("""COMPUTED_VALUE"""),"Jhona Grace G. Aquino")</f>
        <v>Jhona Grace G. Aquino</v>
      </c>
      <c r="B146" s="42" t="str">
        <f ca="1">IFERROR(__xludf.DUMMYFUNCTION("""COMPUTED_VALUE"""),"F")</f>
        <v>F</v>
      </c>
      <c r="C146" s="42" t="str">
        <f ca="1">IFERROR(__xludf.DUMMYFUNCTION("""COMPUTED_VALUE"""),"Tolosa, Cabadbaran City")</f>
        <v>Tolosa, Cabadbaran City</v>
      </c>
      <c r="D146" s="42"/>
      <c r="E146" s="42">
        <f ca="1">IFERROR(__xludf.DUMMYFUNCTION("""COMPUTED_VALUE"""),9642995391)</f>
        <v>9642995391</v>
      </c>
    </row>
    <row r="147" spans="1:5" ht="12.5">
      <c r="A147" s="42" t="str">
        <f ca="1">IFERROR(__xludf.DUMMYFUNCTION("""COMPUTED_VALUE"""),"Arnold S. Palos Jr.")</f>
        <v>Arnold S. Palos Jr.</v>
      </c>
      <c r="B147" s="42" t="str">
        <f ca="1">IFERROR(__xludf.DUMMYFUNCTION("""COMPUTED_VALUE"""),"M")</f>
        <v>M</v>
      </c>
      <c r="C147" s="42" t="str">
        <f ca="1">IFERROR(__xludf.DUMMYFUNCTION("""COMPUTED_VALUE"""),"Saughan")</f>
        <v>Saughan</v>
      </c>
      <c r="D147" s="42"/>
      <c r="E147" s="42">
        <f ca="1">IFERROR(__xludf.DUMMYFUNCTION("""COMPUTED_VALUE"""),930765752)</f>
        <v>930765752</v>
      </c>
    </row>
    <row r="148" spans="1:5" ht="12.5">
      <c r="A148" s="42" t="str">
        <f ca="1">IFERROR(__xludf.DUMMYFUNCTION("""COMPUTED_VALUE"""),"Annie Jane C. Bafro")</f>
        <v>Annie Jane C. Bafro</v>
      </c>
      <c r="B148" s="42" t="str">
        <f ca="1">IFERROR(__xludf.DUMMYFUNCTION("""COMPUTED_VALUE"""),"F")</f>
        <v>F</v>
      </c>
      <c r="C148" s="42" t="str">
        <f ca="1">IFERROR(__xludf.DUMMYFUNCTION("""COMPUTED_VALUE"""),"Bayani")</f>
        <v>Bayani</v>
      </c>
      <c r="D148" s="42"/>
      <c r="E148" s="42">
        <f ca="1">IFERROR(__xludf.DUMMYFUNCTION("""COMPUTED_VALUE"""),9637840504)</f>
        <v>9637840504</v>
      </c>
    </row>
    <row r="149" spans="1:5" ht="12.5">
      <c r="A149" s="42" t="str">
        <f ca="1">IFERROR(__xludf.DUMMYFUNCTION("""COMPUTED_VALUE"""),"Hienzqweill Railee Rizaba")</f>
        <v>Hienzqweill Railee Rizaba</v>
      </c>
      <c r="B149" s="42" t="str">
        <f ca="1">IFERROR(__xludf.DUMMYFUNCTION("""COMPUTED_VALUE"""),"M")</f>
        <v>M</v>
      </c>
      <c r="C149" s="42" t="str">
        <f ca="1">IFERROR(__xludf.DUMMYFUNCTION("""COMPUTED_VALUE"""),"RTR")</f>
        <v>RTR</v>
      </c>
      <c r="D149" s="42"/>
      <c r="E149" s="42">
        <f ca="1">IFERROR(__xludf.DUMMYFUNCTION("""COMPUTED_VALUE"""),970029322)</f>
        <v>970029322</v>
      </c>
    </row>
    <row r="150" spans="1:5" ht="12.5">
      <c r="A150" s="42" t="str">
        <f ca="1">IFERROR(__xludf.DUMMYFUNCTION("""COMPUTED_VALUE"""),"Harlyn D. Ranario")</f>
        <v>Harlyn D. Ranario</v>
      </c>
      <c r="B150" s="42" t="str">
        <f ca="1">IFERROR(__xludf.DUMMYFUNCTION("""COMPUTED_VALUE"""),"F")</f>
        <v>F</v>
      </c>
      <c r="C150" s="42" t="str">
        <f ca="1">IFERROR(__xludf.DUMMYFUNCTION("""COMPUTED_VALUE"""),"Tagbongabong")</f>
        <v>Tagbongabong</v>
      </c>
      <c r="D150" s="42"/>
      <c r="E150" s="42">
        <f ca="1">IFERROR(__xludf.DUMMYFUNCTION("""COMPUTED_VALUE"""),9639553654)</f>
        <v>9639553654</v>
      </c>
    </row>
    <row r="151" spans="1:5" ht="12.5">
      <c r="A151" s="42" t="str">
        <f ca="1">IFERROR(__xludf.DUMMYFUNCTION("""COMPUTED_VALUE"""),"Frencess C, Galve")</f>
        <v>Frencess C, Galve</v>
      </c>
      <c r="B151" s="42" t="str">
        <f ca="1">IFERROR(__xludf.DUMMYFUNCTION("""COMPUTED_VALUE"""),"M")</f>
        <v>M</v>
      </c>
      <c r="C151" s="42" t="str">
        <f ca="1">IFERROR(__xludf.DUMMYFUNCTION("""COMPUTED_VALUE"""),"Cabinet")</f>
        <v>Cabinet</v>
      </c>
      <c r="D151" s="42"/>
      <c r="E151" s="42">
        <f ca="1">IFERROR(__xludf.DUMMYFUNCTION("""COMPUTED_VALUE"""),9135011683)</f>
        <v>9135011683</v>
      </c>
    </row>
    <row r="152" spans="1:5" ht="12.5">
      <c r="A152" s="42" t="str">
        <f ca="1">IFERROR(__xludf.DUMMYFUNCTION("""COMPUTED_VALUE"""),"Johnryl Diayon")</f>
        <v>Johnryl Diayon</v>
      </c>
      <c r="B152" s="42" t="str">
        <f ca="1">IFERROR(__xludf.DUMMYFUNCTION("""COMPUTED_VALUE"""),"M")</f>
        <v>M</v>
      </c>
      <c r="C152" s="42" t="str">
        <f ca="1">IFERROR(__xludf.DUMMYFUNCTION("""COMPUTED_VALUE"""),"Doña Rosario, Tubay")</f>
        <v>Doña Rosario, Tubay</v>
      </c>
      <c r="D152" s="42"/>
      <c r="E152" s="42">
        <f ca="1">IFERROR(__xludf.DUMMYFUNCTION("""COMPUTED_VALUE"""),9488576127)</f>
        <v>9488576127</v>
      </c>
    </row>
    <row r="153" spans="1:5" ht="12.5">
      <c r="A153" s="42" t="str">
        <f ca="1">IFERROR(__xludf.DUMMYFUNCTION("""COMPUTED_VALUE"""),"Antonio Y. Monteros Jr.")</f>
        <v>Antonio Y. Monteros Jr.</v>
      </c>
      <c r="B153" s="42" t="str">
        <f ca="1">IFERROR(__xludf.DUMMYFUNCTION("""COMPUTED_VALUE"""),"M")</f>
        <v>M</v>
      </c>
      <c r="C153" s="42" t="str">
        <f ca="1">IFERROR(__xludf.DUMMYFUNCTION("""COMPUTED_VALUE"""),"Doña Rosario, Tubay")</f>
        <v>Doña Rosario, Tubay</v>
      </c>
      <c r="D153" s="42"/>
      <c r="E153" s="42">
        <f ca="1">IFERROR(__xludf.DUMMYFUNCTION("""COMPUTED_VALUE"""),9455438166)</f>
        <v>9455438166</v>
      </c>
    </row>
    <row r="154" spans="1:5" ht="12.5">
      <c r="A154" s="42" t="str">
        <f ca="1">IFERROR(__xludf.DUMMYFUNCTION("""COMPUTED_VALUE"""),"Cendy S. Enriquez")</f>
        <v>Cendy S. Enriquez</v>
      </c>
      <c r="B154" s="42" t="str">
        <f ca="1">IFERROR(__xludf.DUMMYFUNCTION("""COMPUTED_VALUE"""),"F")</f>
        <v>F</v>
      </c>
      <c r="C154" s="42" t="str">
        <f ca="1">IFERROR(__xludf.DUMMYFUNCTION("""COMPUTED_VALUE"""),"Lusong, Puting Bato")</f>
        <v>Lusong, Puting Bato</v>
      </c>
      <c r="D154" s="42"/>
      <c r="E154" s="42">
        <f ca="1">IFERROR(__xludf.DUMMYFUNCTION("""COMPUTED_VALUE"""),9709219761)</f>
        <v>9709219761</v>
      </c>
    </row>
    <row r="155" spans="1:5" ht="12.5">
      <c r="A155" s="42" t="str">
        <f ca="1">IFERROR(__xludf.DUMMYFUNCTION("""COMPUTED_VALUE"""),"Marjorie C. Sandag")</f>
        <v>Marjorie C. Sandag</v>
      </c>
      <c r="B155" s="42" t="str">
        <f ca="1">IFERROR(__xludf.DUMMYFUNCTION("""COMPUTED_VALUE"""),"F")</f>
        <v>F</v>
      </c>
      <c r="C155" s="42" t="str">
        <f ca="1">IFERROR(__xludf.DUMMYFUNCTION("""COMPUTED_VALUE"""),"Lusong, Puting Bato")</f>
        <v>Lusong, Puting Bato</v>
      </c>
      <c r="D155" s="42"/>
      <c r="E155" s="42">
        <f ca="1">IFERROR(__xludf.DUMMYFUNCTION("""COMPUTED_VALUE"""),9534351363)</f>
        <v>9534351363</v>
      </c>
    </row>
    <row r="156" spans="1:5" ht="12.5">
      <c r="A156" s="42" t="str">
        <f ca="1">IFERROR(__xludf.DUMMYFUNCTION("""COMPUTED_VALUE"""),"Jochelle Anne T. Ybiernas")</f>
        <v>Jochelle Anne T. Ybiernas</v>
      </c>
      <c r="B156" s="42" t="str">
        <f ca="1">IFERROR(__xludf.DUMMYFUNCTION("""COMPUTED_VALUE"""),"F")</f>
        <v>F</v>
      </c>
      <c r="C156" s="42" t="str">
        <f ca="1">IFERROR(__xludf.DUMMYFUNCTION("""COMPUTED_VALUE"""),"P-1 Brgy 9")</f>
        <v>P-1 Brgy 9</v>
      </c>
      <c r="D156" s="42"/>
      <c r="E156" s="42">
        <f ca="1">IFERROR(__xludf.DUMMYFUNCTION("""COMPUTED_VALUE"""),9855748213)</f>
        <v>9855748213</v>
      </c>
    </row>
    <row r="157" spans="1:5" ht="12.5">
      <c r="A157" s="42" t="str">
        <f ca="1">IFERROR(__xludf.DUMMYFUNCTION("""COMPUTED_VALUE"""),"Love R. Salundaguit")</f>
        <v>Love R. Salundaguit</v>
      </c>
      <c r="B157" s="42" t="str">
        <f ca="1">IFERROR(__xludf.DUMMYFUNCTION("""COMPUTED_VALUE"""),"F")</f>
        <v>F</v>
      </c>
      <c r="C157" s="42" t="str">
        <f ca="1">IFERROR(__xludf.DUMMYFUNCTION("""COMPUTED_VALUE"""),"P-1 Brgy 9")</f>
        <v>P-1 Brgy 9</v>
      </c>
      <c r="D157" s="42"/>
      <c r="E157" s="42">
        <f ca="1">IFERROR(__xludf.DUMMYFUNCTION("""COMPUTED_VALUE"""),9931979843)</f>
        <v>9931979843</v>
      </c>
    </row>
    <row r="158" spans="1:5" ht="12.5">
      <c r="A158" s="42" t="str">
        <f ca="1">IFERROR(__xludf.DUMMYFUNCTION("""COMPUTED_VALUE"""),"Rosemarie Panlita")</f>
        <v>Rosemarie Panlita</v>
      </c>
      <c r="B158" s="42" t="str">
        <f ca="1">IFERROR(__xludf.DUMMYFUNCTION("""COMPUTED_VALUE"""),"F")</f>
        <v>F</v>
      </c>
      <c r="C158" s="42" t="str">
        <f ca="1">IFERROR(__xludf.DUMMYFUNCTION("""COMPUTED_VALUE"""),"P-4 La Union")</f>
        <v>P-4 La Union</v>
      </c>
      <c r="D158" s="42" t="str">
        <f ca="1">IFERROR(__xludf.DUMMYFUNCTION("""COMPUTED_VALUE"""),"Any kind")</f>
        <v>Any kind</v>
      </c>
      <c r="E158" s="42">
        <f ca="1">IFERROR(__xludf.DUMMYFUNCTION("""COMPUTED_VALUE"""),9092726699)</f>
        <v>9092726699</v>
      </c>
    </row>
    <row r="159" spans="1:5" ht="12.5">
      <c r="A159" s="42" t="str">
        <f ca="1">IFERROR(__xludf.DUMMYFUNCTION("""COMPUTED_VALUE"""),"Vincent Davalan")</f>
        <v>Vincent Davalan</v>
      </c>
      <c r="B159" s="42" t="str">
        <f ca="1">IFERROR(__xludf.DUMMYFUNCTION("""COMPUTED_VALUE"""),"M")</f>
        <v>M</v>
      </c>
      <c r="C159" s="42" t="str">
        <f ca="1">IFERROR(__xludf.DUMMYFUNCTION("""COMPUTED_VALUE"""),"P-1 Tolosa")</f>
        <v>P-1 Tolosa</v>
      </c>
      <c r="D159" s="42" t="str">
        <f ca="1">IFERROR(__xludf.DUMMYFUNCTION("""COMPUTED_VALUE"""),"Any")</f>
        <v>Any</v>
      </c>
      <c r="E159" s="42">
        <f ca="1">IFERROR(__xludf.DUMMYFUNCTION("""COMPUTED_VALUE"""),9101246062)</f>
        <v>9101246062</v>
      </c>
    </row>
    <row r="160" spans="1:5" ht="12.5">
      <c r="A160" s="42" t="str">
        <f ca="1">IFERROR(__xludf.DUMMYFUNCTION("""COMPUTED_VALUE"""),"Thelma L. Ybañez")</f>
        <v>Thelma L. Ybañez</v>
      </c>
      <c r="B160" s="42" t="str">
        <f ca="1">IFERROR(__xludf.DUMMYFUNCTION("""COMPUTED_VALUE"""),"F")</f>
        <v>F</v>
      </c>
      <c r="C160" s="42" t="str">
        <f ca="1">IFERROR(__xludf.DUMMYFUNCTION("""COMPUTED_VALUE"""),"P-2 Marcos, Magallanes")</f>
        <v>P-2 Marcos, Magallanes</v>
      </c>
      <c r="D160" s="42" t="str">
        <f ca="1">IFERROR(__xludf.DUMMYFUNCTION("""COMPUTED_VALUE"""),"Any")</f>
        <v>Any</v>
      </c>
      <c r="E160" s="42">
        <f ca="1">IFERROR(__xludf.DUMMYFUNCTION("""COMPUTED_VALUE"""),9516863142)</f>
        <v>9516863142</v>
      </c>
    </row>
    <row r="161" spans="1:5" ht="12.5">
      <c r="A161" s="42" t="str">
        <f ca="1">IFERROR(__xludf.DUMMYFUNCTION("""COMPUTED_VALUE"""),"Mark Jason Jasil")</f>
        <v>Mark Jason Jasil</v>
      </c>
      <c r="B161" s="42" t="str">
        <f ca="1">IFERROR(__xludf.DUMMYFUNCTION("""COMPUTED_VALUE"""),"M")</f>
        <v>M</v>
      </c>
      <c r="C161" s="42" t="str">
        <f ca="1">IFERROR(__xludf.DUMMYFUNCTION("""COMPUTED_VALUE"""),"P-11 Mayon La Union")</f>
        <v>P-11 Mayon La Union</v>
      </c>
      <c r="D161" s="42" t="str">
        <f ca="1">IFERROR(__xludf.DUMMYFUNCTION("""COMPUTED_VALUE"""),"Any")</f>
        <v>Any</v>
      </c>
      <c r="E161" s="42">
        <f ca="1">IFERROR(__xludf.DUMMYFUNCTION("""COMPUTED_VALUE"""),9064625779)</f>
        <v>9064625779</v>
      </c>
    </row>
    <row r="162" spans="1:5" ht="12.5">
      <c r="A162" s="42" t="str">
        <f ca="1">IFERROR(__xludf.DUMMYFUNCTION("""COMPUTED_VALUE"""),"Serj Michael N. Briones")</f>
        <v>Serj Michael N. Briones</v>
      </c>
      <c r="B162" s="42" t="str">
        <f ca="1">IFERROR(__xludf.DUMMYFUNCTION("""COMPUTED_VALUE"""),"M")</f>
        <v>M</v>
      </c>
      <c r="C162" s="42" t="str">
        <f ca="1">IFERROR(__xludf.DUMMYFUNCTION("""COMPUTED_VALUE"""),"P-3 Brgy 7")</f>
        <v>P-3 Brgy 7</v>
      </c>
      <c r="D162" s="42" t="str">
        <f ca="1">IFERROR(__xludf.DUMMYFUNCTION("""COMPUTED_VALUE"""),"Any kind")</f>
        <v>Any kind</v>
      </c>
      <c r="E162" s="42">
        <f ca="1">IFERROR(__xludf.DUMMYFUNCTION("""COMPUTED_VALUE"""),9006637723)</f>
        <v>9006637723</v>
      </c>
    </row>
    <row r="163" spans="1:5" ht="12.5">
      <c r="A163" s="42" t="str">
        <f ca="1">IFERROR(__xludf.DUMMYFUNCTION("""COMPUTED_VALUE"""),"Jemymah M. Bantilan")</f>
        <v>Jemymah M. Bantilan</v>
      </c>
      <c r="B163" s="42" t="str">
        <f ca="1">IFERROR(__xludf.DUMMYFUNCTION("""COMPUTED_VALUE"""),"F")</f>
        <v>F</v>
      </c>
      <c r="C163" s="42" t="str">
        <f ca="1">IFERROR(__xludf.DUMMYFUNCTION("""COMPUTED_VALUE"""),"P-3 Brgy 3")</f>
        <v>P-3 Brgy 3</v>
      </c>
      <c r="D163" s="42" t="str">
        <f ca="1">IFERROR(__xludf.DUMMYFUNCTION("""COMPUTED_VALUE"""),"Any kind")</f>
        <v>Any kind</v>
      </c>
      <c r="E163" s="42">
        <f ca="1">IFERROR(__xludf.DUMMYFUNCTION("""COMPUTED_VALUE"""),9853533185)</f>
        <v>9853533185</v>
      </c>
    </row>
    <row r="164" spans="1:5" ht="12.5">
      <c r="A164" s="42" t="str">
        <f ca="1">IFERROR(__xludf.DUMMYFUNCTION("""COMPUTED_VALUE"""),"Jhumar Badal")</f>
        <v>Jhumar Badal</v>
      </c>
      <c r="B164" s="42" t="str">
        <f ca="1">IFERROR(__xludf.DUMMYFUNCTION("""COMPUTED_VALUE"""),"M")</f>
        <v>M</v>
      </c>
      <c r="C164" s="42" t="str">
        <f ca="1">IFERROR(__xludf.DUMMYFUNCTION("""COMPUTED_VALUE"""),"P-4 Tolosa")</f>
        <v>P-4 Tolosa</v>
      </c>
      <c r="D164" s="42"/>
      <c r="E164" s="42">
        <f ca="1">IFERROR(__xludf.DUMMYFUNCTION("""COMPUTED_VALUE"""),9553533155)</f>
        <v>9553533155</v>
      </c>
    </row>
    <row r="165" spans="1:5" ht="12.5">
      <c r="A165" s="42" t="str">
        <f ca="1">IFERROR(__xludf.DUMMYFUNCTION("""COMPUTED_VALUE"""),"Jonathan Sinpay")</f>
        <v>Jonathan Sinpay</v>
      </c>
      <c r="B165" s="42" t="str">
        <f ca="1">IFERROR(__xludf.DUMMYFUNCTION("""COMPUTED_VALUE"""),"M")</f>
        <v>M</v>
      </c>
      <c r="C165" s="42" t="str">
        <f ca="1">IFERROR(__xludf.DUMMYFUNCTION("""COMPUTED_VALUE"""),"RTR")</f>
        <v>RTR</v>
      </c>
      <c r="D165" s="42" t="str">
        <f ca="1">IFERROR(__xludf.DUMMYFUNCTION("""COMPUTED_VALUE"""),"Any kind")</f>
        <v>Any kind</v>
      </c>
      <c r="E165" s="42">
        <f ca="1">IFERROR(__xludf.DUMMYFUNCTION("""COMPUTED_VALUE"""),9121769723)</f>
        <v>9121769723</v>
      </c>
    </row>
    <row r="166" spans="1:5" ht="12.5">
      <c r="A166" s="42" t="str">
        <f ca="1">IFERROR(__xludf.DUMMYFUNCTION("""COMPUTED_VALUE"""),"Earl Valentino")</f>
        <v>Earl Valentino</v>
      </c>
      <c r="B166" s="42" t="str">
        <f ca="1">IFERROR(__xludf.DUMMYFUNCTION("""COMPUTED_VALUE"""),"M")</f>
        <v>M</v>
      </c>
      <c r="C166" s="42" t="str">
        <f ca="1">IFERROR(__xludf.DUMMYFUNCTION("""COMPUTED_VALUE"""),"Butuan City")</f>
        <v>Butuan City</v>
      </c>
      <c r="D166" s="42" t="str">
        <f ca="1">IFERROR(__xludf.DUMMYFUNCTION("""COMPUTED_VALUE"""),"Driver")</f>
        <v>Driver</v>
      </c>
      <c r="E166" s="42">
        <f ca="1">IFERROR(__xludf.DUMMYFUNCTION("""COMPUTED_VALUE"""),9668237863)</f>
        <v>9668237863</v>
      </c>
    </row>
    <row r="167" spans="1:5" ht="12.5">
      <c r="A167" s="42" t="str">
        <f ca="1">IFERROR(__xludf.DUMMYFUNCTION("""COMPUTED_VALUE"""),"Christelle G. Bisnar")</f>
        <v>Christelle G. Bisnar</v>
      </c>
      <c r="B167" s="42" t="str">
        <f ca="1">IFERROR(__xludf.DUMMYFUNCTION("""COMPUTED_VALUE"""),"F")</f>
        <v>F</v>
      </c>
      <c r="C167" s="42" t="str">
        <f ca="1">IFERROR(__xludf.DUMMYFUNCTION("""COMPUTED_VALUE"""),"Alegria, Surigao del Norte")</f>
        <v>Alegria, Surigao del Norte</v>
      </c>
      <c r="D167" s="42" t="str">
        <f ca="1">IFERROR(__xludf.DUMMYFUNCTION("""COMPUTED_VALUE"""),"Any kind")</f>
        <v>Any kind</v>
      </c>
      <c r="E167" s="42">
        <f ca="1">IFERROR(__xludf.DUMMYFUNCTION("""COMPUTED_VALUE"""),9079097940)</f>
        <v>9079097940</v>
      </c>
    </row>
    <row r="168" spans="1:5" ht="12.5">
      <c r="A168" s="42" t="str">
        <f ca="1">IFERROR(__xludf.DUMMYFUNCTION("""COMPUTED_VALUE"""),"Hamadair C. Apellela")</f>
        <v>Hamadair C. Apellela</v>
      </c>
      <c r="B168" s="42" t="str">
        <f ca="1">IFERROR(__xludf.DUMMYFUNCTION("""COMPUTED_VALUE"""),"F")</f>
        <v>F</v>
      </c>
      <c r="C168" s="42" t="str">
        <f ca="1">IFERROR(__xludf.DUMMYFUNCTION("""COMPUTED_VALUE"""),"Sanghan, Cabadbaran City")</f>
        <v>Sanghan, Cabadbaran City</v>
      </c>
      <c r="D168" s="42"/>
      <c r="E168" s="42">
        <f ca="1">IFERROR(__xludf.DUMMYFUNCTION("""COMPUTED_VALUE"""),9062214234)</f>
        <v>9062214234</v>
      </c>
    </row>
    <row r="169" spans="1:5" ht="12.5">
      <c r="A169" s="42" t="str">
        <f ca="1">IFERROR(__xludf.DUMMYFUNCTION("""COMPUTED_VALUE"""),"Llemar Cupay")</f>
        <v>Llemar Cupay</v>
      </c>
      <c r="B169" s="42" t="str">
        <f ca="1">IFERROR(__xludf.DUMMYFUNCTION("""COMPUTED_VALUE"""),"M")</f>
        <v>M</v>
      </c>
      <c r="C169" s="42" t="str">
        <f ca="1">IFERROR(__xludf.DUMMYFUNCTION("""COMPUTED_VALUE"""),"Sanghan, Cabadbaran City")</f>
        <v>Sanghan, Cabadbaran City</v>
      </c>
      <c r="D169" s="42" t="str">
        <f ca="1">IFERROR(__xludf.DUMMYFUNCTION("""COMPUTED_VALUE"""),"Safety")</f>
        <v>Safety</v>
      </c>
      <c r="E169" s="42">
        <f ca="1">IFERROR(__xludf.DUMMYFUNCTION("""COMPUTED_VALUE"""),9505603181)</f>
        <v>9505603181</v>
      </c>
    </row>
    <row r="170" spans="1:5" ht="12.5">
      <c r="A170" s="42" t="str">
        <f ca="1">IFERROR(__xludf.DUMMYFUNCTION("""COMPUTED_VALUE"""),"Centecia Medeza")</f>
        <v>Centecia Medeza</v>
      </c>
      <c r="B170" s="42" t="str">
        <f ca="1">IFERROR(__xludf.DUMMYFUNCTION("""COMPUTED_VALUE"""),"F")</f>
        <v>F</v>
      </c>
      <c r="C170" s="42" t="str">
        <f ca="1">IFERROR(__xludf.DUMMYFUNCTION("""COMPUTED_VALUE"""),"Magallanes")</f>
        <v>Magallanes</v>
      </c>
      <c r="D170" s="42" t="str">
        <f ca="1">IFERROR(__xludf.DUMMYFUNCTION("""COMPUTED_VALUE"""),"Any position")</f>
        <v>Any position</v>
      </c>
      <c r="E170" s="42">
        <f ca="1">IFERROR(__xludf.DUMMYFUNCTION("""COMPUTED_VALUE"""),9518592706)</f>
        <v>9518592706</v>
      </c>
    </row>
    <row r="171" spans="1:5" ht="12.5">
      <c r="A171" s="42" t="str">
        <f ca="1">IFERROR(__xludf.DUMMYFUNCTION("""COMPUTED_VALUE"""),"Crystal F. Moncada")</f>
        <v>Crystal F. Moncada</v>
      </c>
      <c r="B171" s="42" t="str">
        <f ca="1">IFERROR(__xludf.DUMMYFUNCTION("""COMPUTED_VALUE"""),"F")</f>
        <v>F</v>
      </c>
      <c r="C171" s="42" t="str">
        <f ca="1">IFERROR(__xludf.DUMMYFUNCTION("""COMPUTED_VALUE"""),"Magallanes")</f>
        <v>Magallanes</v>
      </c>
      <c r="D171" s="42" t="str">
        <f ca="1">IFERROR(__xludf.DUMMYFUNCTION("""COMPUTED_VALUE"""),"Any position")</f>
        <v>Any position</v>
      </c>
      <c r="E171" s="42">
        <f ca="1">IFERROR(__xludf.DUMMYFUNCTION("""COMPUTED_VALUE"""),9487862779)</f>
        <v>9487862779</v>
      </c>
    </row>
    <row r="172" spans="1:5" ht="12.5">
      <c r="A172" s="42" t="str">
        <f ca="1">IFERROR(__xludf.DUMMYFUNCTION("""COMPUTED_VALUE"""),"Welgy Pabatang")</f>
        <v>Welgy Pabatang</v>
      </c>
      <c r="B172" s="42" t="str">
        <f ca="1">IFERROR(__xludf.DUMMYFUNCTION("""COMPUTED_VALUE"""),"M")</f>
        <v>M</v>
      </c>
      <c r="C172" s="42" t="str">
        <f ca="1">IFERROR(__xludf.DUMMYFUNCTION("""COMPUTED_VALUE"""),"Magallanes")</f>
        <v>Magallanes</v>
      </c>
      <c r="D172" s="42" t="str">
        <f ca="1">IFERROR(__xludf.DUMMYFUNCTION("""COMPUTED_VALUE"""),"Any position")</f>
        <v>Any position</v>
      </c>
      <c r="E172" s="42">
        <f ca="1">IFERROR(__xludf.DUMMYFUNCTION("""COMPUTED_VALUE"""),9129546674)</f>
        <v>9129546674</v>
      </c>
    </row>
    <row r="173" spans="1:5" ht="12.5">
      <c r="A173" s="42" t="str">
        <f ca="1">IFERROR(__xludf.DUMMYFUNCTION("""COMPUTED_VALUE"""),"Jerson T. Alingasa")</f>
        <v>Jerson T. Alingasa</v>
      </c>
      <c r="B173" s="42" t="str">
        <f ca="1">IFERROR(__xludf.DUMMYFUNCTION("""COMPUTED_VALUE"""),"M")</f>
        <v>M</v>
      </c>
      <c r="C173" s="42" t="str">
        <f ca="1">IFERROR(__xludf.DUMMYFUNCTION("""COMPUTED_VALUE"""),"Calamba")</f>
        <v>Calamba</v>
      </c>
      <c r="D173" s="42" t="str">
        <f ca="1">IFERROR(__xludf.DUMMYFUNCTION("""COMPUTED_VALUE"""),"Sales Boy")</f>
        <v>Sales Boy</v>
      </c>
      <c r="E173" s="42">
        <f ca="1">IFERROR(__xludf.DUMMYFUNCTION("""COMPUTED_VALUE"""),9943667617)</f>
        <v>9943667617</v>
      </c>
    </row>
    <row r="174" spans="1:5" ht="12.5">
      <c r="A174" s="42" t="str">
        <f ca="1">IFERROR(__xludf.DUMMYFUNCTION("""COMPUTED_VALUE"""),"Lambert Jay Sajulga")</f>
        <v>Lambert Jay Sajulga</v>
      </c>
      <c r="B174" s="42" t="str">
        <f ca="1">IFERROR(__xludf.DUMMYFUNCTION("""COMPUTED_VALUE"""),"M")</f>
        <v>M</v>
      </c>
      <c r="C174" s="42" t="str">
        <f ca="1">IFERROR(__xludf.DUMMYFUNCTION("""COMPUTED_VALUE"""),"B7 Cabadbaran City")</f>
        <v>B7 Cabadbaran City</v>
      </c>
      <c r="D174" s="42"/>
      <c r="E174" s="42">
        <f ca="1">IFERROR(__xludf.DUMMYFUNCTION("""COMPUTED_VALUE"""),9635399201)</f>
        <v>9635399201</v>
      </c>
    </row>
    <row r="175" spans="1:5" ht="12.5">
      <c r="A175" s="42" t="str">
        <f ca="1">IFERROR(__xludf.DUMMYFUNCTION("""COMPUTED_VALUE"""),"Avel Egole")</f>
        <v>Avel Egole</v>
      </c>
      <c r="B175" s="42" t="str">
        <f ca="1">IFERROR(__xludf.DUMMYFUNCTION("""COMPUTED_VALUE"""),"M")</f>
        <v>M</v>
      </c>
      <c r="C175" s="42" t="str">
        <f ca="1">IFERROR(__xludf.DUMMYFUNCTION("""COMPUTED_VALUE"""),"Cuto")</f>
        <v>Cuto</v>
      </c>
      <c r="D175" s="42" t="str">
        <f ca="1">IFERROR(__xludf.DUMMYFUNCTION("""COMPUTED_VALUE"""),"Driver")</f>
        <v>Driver</v>
      </c>
      <c r="E175" s="42">
        <f ca="1">IFERROR(__xludf.DUMMYFUNCTION("""COMPUTED_VALUE"""),9388887636)</f>
        <v>9388887636</v>
      </c>
    </row>
    <row r="176" spans="1:5" ht="12.5">
      <c r="A176" s="42" t="str">
        <f ca="1">IFERROR(__xludf.DUMMYFUNCTION("""COMPUTED_VALUE"""),"Marjun N. Arirobon")</f>
        <v>Marjun N. Arirobon</v>
      </c>
      <c r="B176" s="42" t="str">
        <f ca="1">IFERROR(__xludf.DUMMYFUNCTION("""COMPUTED_VALUE"""),"M")</f>
        <v>M</v>
      </c>
      <c r="C176" s="42" t="str">
        <f ca="1">IFERROR(__xludf.DUMMYFUNCTION("""COMPUTED_VALUE"""),"Cabadbaran City")</f>
        <v>Cabadbaran City</v>
      </c>
      <c r="D176" s="42" t="str">
        <f ca="1">IFERROR(__xludf.DUMMYFUNCTION("""COMPUTED_VALUE"""),"BSIT")</f>
        <v>BSIT</v>
      </c>
      <c r="E176" s="42">
        <f ca="1">IFERROR(__xludf.DUMMYFUNCTION("""COMPUTED_VALUE"""),9207443418)</f>
        <v>9207443418</v>
      </c>
    </row>
    <row r="177" spans="1:5" ht="12.5">
      <c r="A177" s="42" t="str">
        <f ca="1">IFERROR(__xludf.DUMMYFUNCTION("""COMPUTED_VALUE"""),"Girlie S. Costinar")</f>
        <v>Girlie S. Costinar</v>
      </c>
      <c r="B177" s="42" t="str">
        <f ca="1">IFERROR(__xludf.DUMMYFUNCTION("""COMPUTED_VALUE"""),"F")</f>
        <v>F</v>
      </c>
      <c r="C177" s="42" t="str">
        <f ca="1">IFERROR(__xludf.DUMMYFUNCTION("""COMPUTED_VALUE"""),"P-4 Concepcion Cabadbaran City")</f>
        <v>P-4 Concepcion Cabadbaran City</v>
      </c>
      <c r="D177" s="42" t="str">
        <f ca="1">IFERROR(__xludf.DUMMYFUNCTION("""COMPUTED_VALUE"""),"Any position")</f>
        <v>Any position</v>
      </c>
      <c r="E177" s="42">
        <f ca="1">IFERROR(__xludf.DUMMYFUNCTION("""COMPUTED_VALUE"""),9511990321)</f>
        <v>9511990321</v>
      </c>
    </row>
    <row r="178" spans="1:5" ht="12.5">
      <c r="A178" s="42" t="str">
        <f ca="1">IFERROR(__xludf.DUMMYFUNCTION("""COMPUTED_VALUE"""),"John Mark M. Olaybar")</f>
        <v>John Mark M. Olaybar</v>
      </c>
      <c r="B178" s="42" t="str">
        <f ca="1">IFERROR(__xludf.DUMMYFUNCTION("""COMPUTED_VALUE"""),"M")</f>
        <v>M</v>
      </c>
      <c r="C178" s="42" t="str">
        <f ca="1">IFERROR(__xludf.DUMMYFUNCTION("""COMPUTED_VALUE"""),"P-3 Santiago")</f>
        <v>P-3 Santiago</v>
      </c>
      <c r="D178" s="42" t="str">
        <f ca="1">IFERROR(__xludf.DUMMYFUNCTION("""COMPUTED_VALUE"""),"Any position")</f>
        <v>Any position</v>
      </c>
      <c r="E178" s="42">
        <f ca="1">IFERROR(__xludf.DUMMYFUNCTION("""COMPUTED_VALUE"""),9317262562)</f>
        <v>9317262562</v>
      </c>
    </row>
    <row r="179" spans="1:5" ht="12.5">
      <c r="A179" s="42" t="str">
        <f ca="1">IFERROR(__xludf.DUMMYFUNCTION("""COMPUTED_VALUE"""),"Jayson Galin")</f>
        <v>Jayson Galin</v>
      </c>
      <c r="B179" s="42" t="str">
        <f ca="1">IFERROR(__xludf.DUMMYFUNCTION("""COMPUTED_VALUE"""),"M")</f>
        <v>M</v>
      </c>
      <c r="C179" s="42" t="str">
        <f ca="1">IFERROR(__xludf.DUMMYFUNCTION("""COMPUTED_VALUE"""),"Cabadbaran City")</f>
        <v>Cabadbaran City</v>
      </c>
      <c r="D179" s="42"/>
      <c r="E179" s="42"/>
    </row>
    <row r="180" spans="1:5" ht="12.5">
      <c r="A180" s="42" t="str">
        <f ca="1">IFERROR(__xludf.DUMMYFUNCTION("""COMPUTED_VALUE"""),"Marwin J. Galigas")</f>
        <v>Marwin J. Galigas</v>
      </c>
      <c r="B180" s="42" t="str">
        <f ca="1">IFERROR(__xludf.DUMMYFUNCTION("""COMPUTED_VALUE"""),"M")</f>
        <v>M</v>
      </c>
      <c r="C180" s="42" t="str">
        <f ca="1">IFERROR(__xludf.DUMMYFUNCTION("""COMPUTED_VALUE"""),"Purok-8 Bancasi")</f>
        <v>Purok-8 Bancasi</v>
      </c>
      <c r="D180" s="42" t="str">
        <f ca="1">IFERROR(__xludf.DUMMYFUNCTION("""COMPUTED_VALUE"""),"OCC")</f>
        <v>OCC</v>
      </c>
      <c r="E180" s="42">
        <f ca="1">IFERROR(__xludf.DUMMYFUNCTION("""COMPUTED_VALUE"""),9671325090)</f>
        <v>9671325090</v>
      </c>
    </row>
    <row r="181" spans="1:5" ht="12.5">
      <c r="A181" s="42" t="str">
        <f ca="1">IFERROR(__xludf.DUMMYFUNCTION("""COMPUTED_VALUE"""),"Shiela Marie E. Deligero")</f>
        <v>Shiela Marie E. Deligero</v>
      </c>
      <c r="B181" s="42" t="str">
        <f ca="1">IFERROR(__xludf.DUMMYFUNCTION("""COMPUTED_VALUE"""),"F")</f>
        <v>F</v>
      </c>
      <c r="C181" s="42" t="str">
        <f ca="1">IFERROR(__xludf.DUMMYFUNCTION("""COMPUTED_VALUE"""),"La Union")</f>
        <v>La Union</v>
      </c>
      <c r="D181" s="42" t="str">
        <f ca="1">IFERROR(__xludf.DUMMYFUNCTION("""COMPUTED_VALUE"""),"Any position")</f>
        <v>Any position</v>
      </c>
      <c r="E181" s="42">
        <f ca="1">IFERROR(__xludf.DUMMYFUNCTION("""COMPUTED_VALUE"""),9279363597)</f>
        <v>9279363597</v>
      </c>
    </row>
    <row r="182" spans="1:5" ht="12.5">
      <c r="A182" s="42" t="str">
        <f ca="1">IFERROR(__xludf.DUMMYFUNCTION("""COMPUTED_VALUE"""),"Angel Mae S. Lauron")</f>
        <v>Angel Mae S. Lauron</v>
      </c>
      <c r="B182" s="42" t="str">
        <f ca="1">IFERROR(__xludf.DUMMYFUNCTION("""COMPUTED_VALUE"""),"F")</f>
        <v>F</v>
      </c>
      <c r="C182" s="42" t="str">
        <f ca="1">IFERROR(__xludf.DUMMYFUNCTION("""COMPUTED_VALUE"""),"P-4 Bancasi")</f>
        <v>P-4 Bancasi</v>
      </c>
      <c r="D182" s="42" t="str">
        <f ca="1">IFERROR(__xludf.DUMMYFUNCTION("""COMPUTED_VALUE"""),"OCC")</f>
        <v>OCC</v>
      </c>
      <c r="E182" s="42">
        <f ca="1">IFERROR(__xludf.DUMMYFUNCTION("""COMPUTED_VALUE"""),9260414915)</f>
        <v>9260414915</v>
      </c>
    </row>
    <row r="183" spans="1:5" ht="12.5">
      <c r="A183" s="42" t="str">
        <f ca="1">IFERROR(__xludf.DUMMYFUNCTION("""COMPUTED_VALUE"""),"Alvie Jhon Pabia")</f>
        <v>Alvie Jhon Pabia</v>
      </c>
      <c r="B183" s="42" t="str">
        <f ca="1">IFERROR(__xludf.DUMMYFUNCTION("""COMPUTED_VALUE"""),"M")</f>
        <v>M</v>
      </c>
      <c r="C183" s="42" t="str">
        <f ca="1">IFERROR(__xludf.DUMMYFUNCTION("""COMPUTED_VALUE"""),"P-1 Tubay")</f>
        <v>P-1 Tubay</v>
      </c>
      <c r="D183" s="42" t="str">
        <f ca="1">IFERROR(__xludf.DUMMYFUNCTION("""COMPUTED_VALUE"""),"Merchandiser, Any")</f>
        <v>Merchandiser, Any</v>
      </c>
      <c r="E183" s="42">
        <f ca="1">IFERROR(__xludf.DUMMYFUNCTION("""COMPUTED_VALUE"""),9319373034)</f>
        <v>9319373034</v>
      </c>
    </row>
    <row r="184" spans="1:5" ht="12.5">
      <c r="A184" s="42" t="str">
        <f ca="1">IFERROR(__xludf.DUMMYFUNCTION("""COMPUTED_VALUE"""),"Marichu Lubang")</f>
        <v>Marichu Lubang</v>
      </c>
      <c r="B184" s="42" t="str">
        <f ca="1">IFERROR(__xludf.DUMMYFUNCTION("""COMPUTED_VALUE"""),"F")</f>
        <v>F</v>
      </c>
      <c r="C184" s="42" t="str">
        <f ca="1">IFERROR(__xludf.DUMMYFUNCTION("""COMPUTED_VALUE"""),"P-3 Calibunan")</f>
        <v>P-3 Calibunan</v>
      </c>
      <c r="D184" s="42"/>
      <c r="E184" s="42">
        <f ca="1">IFERROR(__xludf.DUMMYFUNCTION("""COMPUTED_VALUE"""),9929479403)</f>
        <v>9929479403</v>
      </c>
    </row>
    <row r="185" spans="1:5" ht="12.5">
      <c r="A185" s="42" t="str">
        <f ca="1">IFERROR(__xludf.DUMMYFUNCTION("""COMPUTED_VALUE"""),"Jeanette Melanie L. Cailing")</f>
        <v>Jeanette Melanie L. Cailing</v>
      </c>
      <c r="B185" s="42" t="str">
        <f ca="1">IFERROR(__xludf.DUMMYFUNCTION("""COMPUTED_VALUE"""),"F")</f>
        <v>F</v>
      </c>
      <c r="C185" s="42" t="str">
        <f ca="1">IFERROR(__xludf.DUMMYFUNCTION("""COMPUTED_VALUE"""),"P-6 Brgy. Cabayawa")</f>
        <v>P-6 Brgy. Cabayawa</v>
      </c>
      <c r="D185" s="42" t="str">
        <f ca="1">IFERROR(__xludf.DUMMYFUNCTION("""COMPUTED_VALUE"""),"BSIT")</f>
        <v>BSIT</v>
      </c>
      <c r="E185" s="42">
        <f ca="1">IFERROR(__xludf.DUMMYFUNCTION("""COMPUTED_VALUE"""),9855242115)</f>
        <v>9855242115</v>
      </c>
    </row>
    <row r="186" spans="1:5" ht="12.5">
      <c r="A186" s="42" t="str">
        <f ca="1">IFERROR(__xludf.DUMMYFUNCTION("""COMPUTED_VALUE"""),"Regine Rose Clemenia")</f>
        <v>Regine Rose Clemenia</v>
      </c>
      <c r="B186" s="42" t="str">
        <f ca="1">IFERROR(__xludf.DUMMYFUNCTION("""COMPUTED_VALUE"""),"F")</f>
        <v>F</v>
      </c>
      <c r="C186" s="42" t="str">
        <f ca="1">IFERROR(__xludf.DUMMYFUNCTION("""COMPUTED_VALUE"""),"P-6 Tolosa")</f>
        <v>P-6 Tolosa</v>
      </c>
      <c r="D186" s="42" t="str">
        <f ca="1">IFERROR(__xludf.DUMMYFUNCTION("""COMPUTED_VALUE"""),"HS GRAD")</f>
        <v>HS GRAD</v>
      </c>
      <c r="E186" s="42">
        <f ca="1">IFERROR(__xludf.DUMMYFUNCTION("""COMPUTED_VALUE"""),9461255393)</f>
        <v>9461255393</v>
      </c>
    </row>
    <row r="187" spans="1:5" ht="12.5">
      <c r="A187" s="42" t="str">
        <f ca="1">IFERROR(__xludf.DUMMYFUNCTION("""COMPUTED_VALUE"""),"Benjamin Jo H.Lacson")</f>
        <v>Benjamin Jo H.Lacson</v>
      </c>
      <c r="B187" s="42" t="str">
        <f ca="1">IFERROR(__xludf.DUMMYFUNCTION("""COMPUTED_VALUE"""),"M")</f>
        <v>M</v>
      </c>
      <c r="C187" s="42" t="str">
        <f ca="1">IFERROR(__xludf.DUMMYFUNCTION("""COMPUTED_VALUE"""),"P-San Antonio, RTR")</f>
        <v>P-San Antonio, RTR</v>
      </c>
      <c r="D187" s="42"/>
      <c r="E187" s="42">
        <f ca="1">IFERROR(__xludf.DUMMYFUNCTION("""COMPUTED_VALUE"""),9532306318)</f>
        <v>9532306318</v>
      </c>
    </row>
    <row r="188" spans="1:5" ht="12.5">
      <c r="A188" s="42" t="str">
        <f ca="1">IFERROR(__xludf.DUMMYFUNCTION("""COMPUTED_VALUE"""),"Rickjhon L. Acido")</f>
        <v>Rickjhon L. Acido</v>
      </c>
      <c r="B188" s="42" t="str">
        <f ca="1">IFERROR(__xludf.DUMMYFUNCTION("""COMPUTED_VALUE"""),"M")</f>
        <v>M</v>
      </c>
      <c r="C188" s="42" t="str">
        <f ca="1">IFERROR(__xludf.DUMMYFUNCTION("""COMPUTED_VALUE"""),"Poblacion Jabonga")</f>
        <v>Poblacion Jabonga</v>
      </c>
      <c r="D188" s="42" t="str">
        <f ca="1">IFERROR(__xludf.DUMMYFUNCTION("""COMPUTED_VALUE"""),"BS Accounting")</f>
        <v>BS Accounting</v>
      </c>
      <c r="E188" s="42">
        <f ca="1">IFERROR(__xludf.DUMMYFUNCTION("""COMPUTED_VALUE"""),997758608)</f>
        <v>997758608</v>
      </c>
    </row>
    <row r="189" spans="1:5" ht="12.5">
      <c r="A189" s="42" t="str">
        <f ca="1">IFERROR(__xludf.DUMMYFUNCTION("""COMPUTED_VALUE"""),"Allen Grace P. Pajaron")</f>
        <v>Allen Grace P. Pajaron</v>
      </c>
      <c r="B189" s="42" t="str">
        <f ca="1">IFERROR(__xludf.DUMMYFUNCTION("""COMPUTED_VALUE"""),"F")</f>
        <v>F</v>
      </c>
      <c r="C189" s="42" t="str">
        <f ca="1">IFERROR(__xludf.DUMMYFUNCTION("""COMPUTED_VALUE"""),"Purok 3 Barangay 9")</f>
        <v>Purok 3 Barangay 9</v>
      </c>
      <c r="D189" s="42" t="str">
        <f ca="1">IFERROR(__xludf.DUMMYFUNCTION("""COMPUTED_VALUE"""),"HS GRAD")</f>
        <v>HS GRAD</v>
      </c>
      <c r="E189" s="42">
        <f ca="1">IFERROR(__xludf.DUMMYFUNCTION("""COMPUTED_VALUE"""),9502780866)</f>
        <v>9502780866</v>
      </c>
    </row>
    <row r="190" spans="1:5" ht="12.5">
      <c r="A190" s="42" t="str">
        <f ca="1">IFERROR(__xludf.DUMMYFUNCTION("""COMPUTED_VALUE"""),"John Paul Hernandez")</f>
        <v>John Paul Hernandez</v>
      </c>
      <c r="B190" s="42" t="str">
        <f ca="1">IFERROR(__xludf.DUMMYFUNCTION("""COMPUTED_VALUE"""),"M")</f>
        <v>M</v>
      </c>
      <c r="C190" s="42" t="str">
        <f ca="1">IFERROR(__xludf.DUMMYFUNCTION("""COMPUTED_VALUE"""),"Purok 3 Soriano")</f>
        <v>Purok 3 Soriano</v>
      </c>
      <c r="D190" s="42" t="str">
        <f ca="1">IFERROR(__xludf.DUMMYFUNCTION("""COMPUTED_VALUE"""),"GS Grand")</f>
        <v>GS Grand</v>
      </c>
      <c r="E190" s="42">
        <f ca="1">IFERROR(__xludf.DUMMYFUNCTION("""COMPUTED_VALUE"""),9199318879)</f>
        <v>9199318879</v>
      </c>
    </row>
    <row r="191" spans="1:5" ht="12.5">
      <c r="A191" s="42" t="str">
        <f ca="1">IFERROR(__xludf.DUMMYFUNCTION("""COMPUTED_VALUE"""),"Jane Lawagon")</f>
        <v>Jane Lawagon</v>
      </c>
      <c r="B191" s="42" t="str">
        <f ca="1">IFERROR(__xludf.DUMMYFUNCTION("""COMPUTED_VALUE"""),"F")</f>
        <v>F</v>
      </c>
      <c r="C191" s="42" t="str">
        <f ca="1">IFERROR(__xludf.DUMMYFUNCTION("""COMPUTED_VALUE"""),"P-2 Cabinet")</f>
        <v>P-2 Cabinet</v>
      </c>
      <c r="D191" s="42"/>
      <c r="E191" s="42">
        <f ca="1">IFERROR(__xludf.DUMMYFUNCTION("""COMPUTED_VALUE"""),9109799103)</f>
        <v>9109799103</v>
      </c>
    </row>
    <row r="192" spans="1:5" ht="12.5">
      <c r="A192" s="42" t="str">
        <f ca="1">IFERROR(__xludf.DUMMYFUNCTION("""COMPUTED_VALUE"""),"Kilpatrick Abucejo")</f>
        <v>Kilpatrick Abucejo</v>
      </c>
      <c r="B192" s="42" t="str">
        <f ca="1">IFERROR(__xludf.DUMMYFUNCTION("""COMPUTED_VALUE"""),"M")</f>
        <v>M</v>
      </c>
      <c r="C192" s="42" t="str">
        <f ca="1">IFERROR(__xludf.DUMMYFUNCTION("""COMPUTED_VALUE"""),"P-4 Brgy 12 Cabadbaran City")</f>
        <v>P-4 Brgy 12 Cabadbaran City</v>
      </c>
      <c r="D192" s="42" t="str">
        <f ca="1">IFERROR(__xludf.DUMMYFUNCTION("""COMPUTED_VALUE"""),"BSIT")</f>
        <v>BSIT</v>
      </c>
      <c r="E192" s="42">
        <f ca="1">IFERROR(__xludf.DUMMYFUNCTION("""COMPUTED_VALUE"""),9949919345)</f>
        <v>9949919345</v>
      </c>
    </row>
    <row r="193" spans="1:5" ht="12.5">
      <c r="A193" s="42" t="str">
        <f ca="1">IFERROR(__xludf.DUMMYFUNCTION("""COMPUTED_VALUE"""),"Jamaica Jane G. Labito")</f>
        <v>Jamaica Jane G. Labito</v>
      </c>
      <c r="B193" s="42" t="str">
        <f ca="1">IFERROR(__xludf.DUMMYFUNCTION("""COMPUTED_VALUE"""),"F")</f>
        <v>F</v>
      </c>
      <c r="C193" s="42" t="str">
        <f ca="1">IFERROR(__xludf.DUMMYFUNCTION("""COMPUTED_VALUE"""),"P-2 Humilog RTR")</f>
        <v>P-2 Humilog RTR</v>
      </c>
      <c r="D193" s="42"/>
      <c r="E193" s="42">
        <f ca="1">IFERROR(__xludf.DUMMYFUNCTION("""COMPUTED_VALUE"""),9955943414)</f>
        <v>9955943414</v>
      </c>
    </row>
    <row r="194" spans="1:5" ht="12.5">
      <c r="A194" s="42" t="str">
        <f ca="1">IFERROR(__xludf.DUMMYFUNCTION("""COMPUTED_VALUE"""),"Cede M. Supas")</f>
        <v>Cede M. Supas</v>
      </c>
      <c r="B194" s="42" t="str">
        <f ca="1">IFERROR(__xludf.DUMMYFUNCTION("""COMPUTED_VALUE"""),"M")</f>
        <v>M</v>
      </c>
      <c r="C194" s="42" t="str">
        <f ca="1">IFERROR(__xludf.DUMMYFUNCTION("""COMPUTED_VALUE"""),"P-1 Taod-Oy")</f>
        <v>P-1 Taod-Oy</v>
      </c>
      <c r="D194" s="42" t="str">
        <f ca="1">IFERROR(__xludf.DUMMYFUNCTION("""COMPUTED_VALUE"""),"BS BIO")</f>
        <v>BS BIO</v>
      </c>
      <c r="E194" s="42">
        <f ca="1">IFERROR(__xludf.DUMMYFUNCTION("""COMPUTED_VALUE"""),9518815822)</f>
        <v>9518815822</v>
      </c>
    </row>
    <row r="195" spans="1:5" ht="12.5">
      <c r="A195" s="42" t="str">
        <f ca="1">IFERROR(__xludf.DUMMYFUNCTION("""COMPUTED_VALUE"""),"Refley Mae Q. Juno")</f>
        <v>Refley Mae Q. Juno</v>
      </c>
      <c r="B195" s="42" t="str">
        <f ca="1">IFERROR(__xludf.DUMMYFUNCTION("""COMPUTED_VALUE"""),"F")</f>
        <v>F</v>
      </c>
      <c r="C195" s="42" t="str">
        <f ca="1">IFERROR(__xludf.DUMMYFUNCTION("""COMPUTED_VALUE"""),"P-1 Taod-Oy")</f>
        <v>P-1 Taod-Oy</v>
      </c>
      <c r="D195" s="42" t="str">
        <f ca="1">IFERROR(__xludf.DUMMYFUNCTION("""COMPUTED_VALUE"""),"BS BIO")</f>
        <v>BS BIO</v>
      </c>
      <c r="E195" s="42">
        <f ca="1">IFERROR(__xludf.DUMMYFUNCTION("""COMPUTED_VALUE"""),9395082871)</f>
        <v>9395082871</v>
      </c>
    </row>
    <row r="196" spans="1:5" ht="12.5">
      <c r="A196" s="42" t="str">
        <f ca="1">IFERROR(__xludf.DUMMYFUNCTION("""COMPUTED_VALUE"""),"Rose Jean B. Gabisan")</f>
        <v>Rose Jean B. Gabisan</v>
      </c>
      <c r="B196" s="42" t="str">
        <f ca="1">IFERROR(__xludf.DUMMYFUNCTION("""COMPUTED_VALUE"""),"F")</f>
        <v>F</v>
      </c>
      <c r="C196" s="42" t="str">
        <f ca="1">IFERROR(__xludf.DUMMYFUNCTION("""COMPUTED_VALUE"""),"P-4 Basilisa")</f>
        <v>P-4 Basilisa</v>
      </c>
      <c r="D196" s="42" t="str">
        <f ca="1">IFERROR(__xludf.DUMMYFUNCTION("""COMPUTED_VALUE"""),"BS MATH")</f>
        <v>BS MATH</v>
      </c>
      <c r="E196" s="42">
        <f ca="1">IFERROR(__xludf.DUMMYFUNCTION("""COMPUTED_VALUE"""),9516828214)</f>
        <v>9516828214</v>
      </c>
    </row>
    <row r="197" spans="1:5" ht="12.5">
      <c r="A197" s="42" t="str">
        <f ca="1">IFERROR(__xludf.DUMMYFUNCTION("""COMPUTED_VALUE"""),"Joy Morlladez")</f>
        <v>Joy Morlladez</v>
      </c>
      <c r="B197" s="42" t="str">
        <f ca="1">IFERROR(__xludf.DUMMYFUNCTION("""COMPUTED_VALUE"""),"F")</f>
        <v>F</v>
      </c>
      <c r="C197" s="42" t="str">
        <f ca="1">IFERROR(__xludf.DUMMYFUNCTION("""COMPUTED_VALUE"""),"P-3 Antonioluna")</f>
        <v>P-3 Antonioluna</v>
      </c>
      <c r="D197" s="42" t="str">
        <f ca="1">IFERROR(__xludf.DUMMYFUNCTION("""COMPUTED_VALUE"""),"BSED")</f>
        <v>BSED</v>
      </c>
      <c r="E197" s="42">
        <f ca="1">IFERROR(__xludf.DUMMYFUNCTION("""COMPUTED_VALUE"""),9851449090)</f>
        <v>9851449090</v>
      </c>
    </row>
    <row r="198" spans="1:5" ht="12.5">
      <c r="A198" s="42" t="str">
        <f ca="1">IFERROR(__xludf.DUMMYFUNCTION("""COMPUTED_VALUE"""),"Richard Balanis")</f>
        <v>Richard Balanis</v>
      </c>
      <c r="B198" s="42" t="str">
        <f ca="1">IFERROR(__xludf.DUMMYFUNCTION("""COMPUTED_VALUE"""),"M")</f>
        <v>M</v>
      </c>
      <c r="C198" s="42" t="str">
        <f ca="1">IFERROR(__xludf.DUMMYFUNCTION("""COMPUTED_VALUE"""),"P-3 Antonioluna")</f>
        <v>P-3 Antonioluna</v>
      </c>
      <c r="D198" s="42" t="str">
        <f ca="1">IFERROR(__xludf.DUMMYFUNCTION("""COMPUTED_VALUE"""),"S GRAD")</f>
        <v>S GRAD</v>
      </c>
      <c r="E198" s="42">
        <f ca="1">IFERROR(__xludf.DUMMYFUNCTION("""COMPUTED_VALUE"""),9507875980)</f>
        <v>9507875980</v>
      </c>
    </row>
    <row r="199" spans="1:5" ht="12.5">
      <c r="A199" s="42" t="str">
        <f ca="1">IFERROR(__xludf.DUMMYFUNCTION("""COMPUTED_VALUE"""),"Heralyn A, Tizon")</f>
        <v>Heralyn A, Tizon</v>
      </c>
      <c r="B199" s="42" t="str">
        <f ca="1">IFERROR(__xludf.DUMMYFUNCTION("""COMPUTED_VALUE"""),"F")</f>
        <v>F</v>
      </c>
      <c r="C199" s="42" t="str">
        <f ca="1">IFERROR(__xludf.DUMMYFUNCTION("""COMPUTED_VALUE"""),"P-2 Sanghan")</f>
        <v>P-2 Sanghan</v>
      </c>
      <c r="D199" s="42" t="str">
        <f ca="1">IFERROR(__xludf.DUMMYFUNCTION("""COMPUTED_VALUE"""),"S GRAD")</f>
        <v>S GRAD</v>
      </c>
      <c r="E199" s="42">
        <f ca="1">IFERROR(__xludf.DUMMYFUNCTION("""COMPUTED_VALUE"""),9851010704)</f>
        <v>9851010704</v>
      </c>
    </row>
    <row r="200" spans="1:5" ht="12.5">
      <c r="A200" s="42" t="str">
        <f ca="1">IFERROR(__xludf.DUMMYFUNCTION("""COMPUTED_VALUE"""),"Dan M. Sacala")</f>
        <v>Dan M. Sacala</v>
      </c>
      <c r="B200" s="42" t="str">
        <f ca="1">IFERROR(__xludf.DUMMYFUNCTION("""COMPUTED_VALUE"""),"M")</f>
        <v>M</v>
      </c>
      <c r="C200" s="42" t="str">
        <f ca="1">IFERROR(__xludf.DUMMYFUNCTION("""COMPUTED_VALUE"""),"P-11 Tubay")</f>
        <v>P-11 Tubay</v>
      </c>
      <c r="D200" s="42" t="str">
        <f ca="1">IFERROR(__xludf.DUMMYFUNCTION("""COMPUTED_VALUE"""),"BSED")</f>
        <v>BSED</v>
      </c>
      <c r="E200" s="42">
        <f ca="1">IFERROR(__xludf.DUMMYFUNCTION("""COMPUTED_VALUE"""),9974979069)</f>
        <v>9974979069</v>
      </c>
    </row>
    <row r="201" spans="1:5" ht="12.5">
      <c r="A201" s="42" t="str">
        <f ca="1">IFERROR(__xludf.DUMMYFUNCTION("""COMPUTED_VALUE"""),"Jan Louie Garbo")</f>
        <v>Jan Louie Garbo</v>
      </c>
      <c r="B201" s="42" t="str">
        <f ca="1">IFERROR(__xludf.DUMMYFUNCTION("""COMPUTED_VALUE"""),"M")</f>
        <v>M</v>
      </c>
      <c r="C201" s="42" t="str">
        <f ca="1">IFERROR(__xludf.DUMMYFUNCTION("""COMPUTED_VALUE"""),"P-2 Sanghan")</f>
        <v>P-2 Sanghan</v>
      </c>
      <c r="D201" s="42" t="str">
        <f ca="1">IFERROR(__xludf.DUMMYFUNCTION("""COMPUTED_VALUE"""),"H GRAD")</f>
        <v>H GRAD</v>
      </c>
      <c r="E201" s="42">
        <f ca="1">IFERROR(__xludf.DUMMYFUNCTION("""COMPUTED_VALUE"""),9512475345)</f>
        <v>9512475345</v>
      </c>
    </row>
    <row r="202" spans="1:5" ht="12.5">
      <c r="A202" s="42" t="str">
        <f ca="1">IFERROR(__xludf.DUMMYFUNCTION("""COMPUTED_VALUE"""),"Afrelyn C. Sulima")</f>
        <v>Afrelyn C. Sulima</v>
      </c>
      <c r="B202" s="42" t="str">
        <f ca="1">IFERROR(__xludf.DUMMYFUNCTION("""COMPUTED_VALUE"""),"F")</f>
        <v>F</v>
      </c>
      <c r="C202" s="42" t="str">
        <f ca="1">IFERROR(__xludf.DUMMYFUNCTION("""COMPUTED_VALUE"""),"P-2 Sanghan")</f>
        <v>P-2 Sanghan</v>
      </c>
      <c r="D202" s="42" t="str">
        <f ca="1">IFERROR(__xludf.DUMMYFUNCTION("""COMPUTED_VALUE"""),"BS CRIM")</f>
        <v>BS CRIM</v>
      </c>
      <c r="E202" s="42">
        <f ca="1">IFERROR(__xludf.DUMMYFUNCTION("""COMPUTED_VALUE"""),9632336477)</f>
        <v>9632336477</v>
      </c>
    </row>
    <row r="203" spans="1:5" ht="12.5">
      <c r="A203" s="42" t="str">
        <f ca="1">IFERROR(__xludf.DUMMYFUNCTION("""COMPUTED_VALUE"""),"Sweenie Putao")</f>
        <v>Sweenie Putao</v>
      </c>
      <c r="B203" s="42" t="str">
        <f ca="1">IFERROR(__xludf.DUMMYFUNCTION("""COMPUTED_VALUE"""),"F")</f>
        <v>F</v>
      </c>
      <c r="C203" s="42" t="str">
        <f ca="1">IFERROR(__xludf.DUMMYFUNCTION("""COMPUTED_VALUE"""),"P-4 Katugasan, Cabadbaran City")</f>
        <v>P-4 Katugasan, Cabadbaran City</v>
      </c>
      <c r="D203" s="42" t="str">
        <f ca="1">IFERROR(__xludf.DUMMYFUNCTION("""COMPUTED_VALUE"""),"BSIT")</f>
        <v>BSIT</v>
      </c>
      <c r="E203" s="42">
        <f ca="1">IFERROR(__xludf.DUMMYFUNCTION("""COMPUTED_VALUE"""),9367219282)</f>
        <v>9367219282</v>
      </c>
    </row>
    <row r="204" spans="1:5" ht="12.5">
      <c r="A204" s="42" t="str">
        <f ca="1">IFERROR(__xludf.DUMMYFUNCTION("""COMPUTED_VALUE"""),"Lara laraine Sermillas")</f>
        <v>Lara laraine Sermillas</v>
      </c>
      <c r="B204" s="42" t="str">
        <f ca="1">IFERROR(__xludf.DUMMYFUNCTION("""COMPUTED_VALUE"""),"F")</f>
        <v>F</v>
      </c>
      <c r="C204" s="42" t="str">
        <f ca="1">IFERROR(__xludf.DUMMYFUNCTION("""COMPUTED_VALUE"""),"P-3 Humilog RTR")</f>
        <v>P-3 Humilog RTR</v>
      </c>
      <c r="D204" s="42"/>
      <c r="E204" s="42">
        <f ca="1">IFERROR(__xludf.DUMMYFUNCTION("""COMPUTED_VALUE"""),9559630064)</f>
        <v>9559630064</v>
      </c>
    </row>
    <row r="205" spans="1:5" ht="12.5">
      <c r="A205" s="42" t="str">
        <f ca="1">IFERROR(__xludf.DUMMYFUNCTION("""COMPUTED_VALUE"""),"DJ Lesther Hora")</f>
        <v>DJ Lesther Hora</v>
      </c>
      <c r="B205" s="42" t="str">
        <f ca="1">IFERROR(__xludf.DUMMYFUNCTION("""COMPUTED_VALUE"""),"M")</f>
        <v>M</v>
      </c>
      <c r="C205" s="42" t="str">
        <f ca="1">IFERROR(__xludf.DUMMYFUNCTION("""COMPUTED_VALUE"""),"P-3 Caloc-an, Magallanes")</f>
        <v>P-3 Caloc-an, Magallanes</v>
      </c>
      <c r="D205" s="42" t="str">
        <f ca="1">IFERROR(__xludf.DUMMYFUNCTION("""COMPUTED_VALUE"""),"BSED")</f>
        <v>BSED</v>
      </c>
      <c r="E205" s="42">
        <f ca="1">IFERROR(__xludf.DUMMYFUNCTION("""COMPUTED_VALUE"""),9560754602)</f>
        <v>9560754602</v>
      </c>
    </row>
    <row r="206" spans="1:5" ht="12.5">
      <c r="A206" s="42" t="str">
        <f ca="1">IFERROR(__xludf.DUMMYFUNCTION("""COMPUTED_VALUE"""),"Antonitte Dacera")</f>
        <v>Antonitte Dacera</v>
      </c>
      <c r="B206" s="42" t="str">
        <f ca="1">IFERROR(__xludf.DUMMYFUNCTION("""COMPUTED_VALUE"""),"F")</f>
        <v>F</v>
      </c>
      <c r="C206" s="42" t="str">
        <f ca="1">IFERROR(__xludf.DUMMYFUNCTION("""COMPUTED_VALUE"""),"P6 Brgy. Comagascas")</f>
        <v>P6 Brgy. Comagascas</v>
      </c>
      <c r="D206" s="42" t="str">
        <f ca="1">IFERROR(__xludf.DUMMYFUNCTION("""COMPUTED_VALUE"""),"BSED")</f>
        <v>BSED</v>
      </c>
      <c r="E206" s="42">
        <f ca="1">IFERROR(__xludf.DUMMYFUNCTION("""COMPUTED_VALUE"""),9157100548)</f>
        <v>9157100548</v>
      </c>
    </row>
    <row r="207" spans="1:5" ht="12.5">
      <c r="A207" s="42" t="str">
        <f ca="1">IFERROR(__xludf.DUMMYFUNCTION("""COMPUTED_VALUE"""),"Dan Peter C. Asino")</f>
        <v>Dan Peter C. Asino</v>
      </c>
      <c r="B207" s="42" t="str">
        <f ca="1">IFERROR(__xludf.DUMMYFUNCTION("""COMPUTED_VALUE"""),"M")</f>
        <v>M</v>
      </c>
      <c r="C207" s="42" t="str">
        <f ca="1">IFERROR(__xludf.DUMMYFUNCTION("""COMPUTED_VALUE"""),"P-1 Soriano Cabadbaran City")</f>
        <v>P-1 Soriano Cabadbaran City</v>
      </c>
      <c r="D207" s="42"/>
      <c r="E207" s="42">
        <f ca="1">IFERROR(__xludf.DUMMYFUNCTION("""COMPUTED_VALUE"""),9241820106)</f>
        <v>9241820106</v>
      </c>
    </row>
    <row r="208" spans="1:5" ht="12.5">
      <c r="A208" s="42" t="str">
        <f ca="1">IFERROR(__xludf.DUMMYFUNCTION("""COMPUTED_VALUE"""),"Ilunas C. Damallerio")</f>
        <v>Ilunas C. Damallerio</v>
      </c>
      <c r="B208" s="42" t="str">
        <f ca="1">IFERROR(__xludf.DUMMYFUNCTION("""COMPUTED_VALUE"""),"M")</f>
        <v>M</v>
      </c>
      <c r="C208" s="42" t="str">
        <f ca="1">IFERROR(__xludf.DUMMYFUNCTION("""COMPUTED_VALUE"""),"P-2 Calibunan Cabadbaran City")</f>
        <v>P-2 Calibunan Cabadbaran City</v>
      </c>
      <c r="D208" s="42" t="str">
        <f ca="1">IFERROR(__xludf.DUMMYFUNCTION("""COMPUTED_VALUE"""),"EET")</f>
        <v>EET</v>
      </c>
      <c r="E208" s="42">
        <f ca="1">IFERROR(__xludf.DUMMYFUNCTION("""COMPUTED_VALUE"""),9090920219)</f>
        <v>9090920219</v>
      </c>
    </row>
    <row r="209" spans="1:5" ht="12.5">
      <c r="A209" s="42" t="str">
        <f ca="1">IFERROR(__xludf.DUMMYFUNCTION("""COMPUTED_VALUE"""),"Aujin Mark Sabo")</f>
        <v>Aujin Mark Sabo</v>
      </c>
      <c r="B209" s="42" t="str">
        <f ca="1">IFERROR(__xludf.DUMMYFUNCTION("""COMPUTED_VALUE"""),"M")</f>
        <v>M</v>
      </c>
      <c r="C209" s="42" t="str">
        <f ca="1">IFERROR(__xludf.DUMMYFUNCTION("""COMPUTED_VALUE"""),"Brgy. 10 Cabadbaran City")</f>
        <v>Brgy. 10 Cabadbaran City</v>
      </c>
      <c r="D209" s="42" t="str">
        <f ca="1">IFERROR(__xludf.DUMMYFUNCTION("""COMPUTED_VALUE"""),"TECH HEAD")</f>
        <v>TECH HEAD</v>
      </c>
      <c r="E209" s="42">
        <f ca="1">IFERROR(__xludf.DUMMYFUNCTION("""COMPUTED_VALUE"""),9108596806)</f>
        <v>9108596806</v>
      </c>
    </row>
    <row r="210" spans="1:5" ht="12.5">
      <c r="A210" s="42" t="str">
        <f ca="1">IFERROR(__xludf.DUMMYFUNCTION("QUERY(VSTACK('February 26, 2026'!A2:E1001), ""Select * where Col1 is not null"")"),"Abigail A. Conucto")</f>
        <v>Abigail A. Conucto</v>
      </c>
      <c r="B210" s="42" t="str">
        <f ca="1">IFERROR(__xludf.DUMMYFUNCTION("""COMPUTED_VALUE"""),"F")</f>
        <v>F</v>
      </c>
      <c r="C210" s="42" t="str">
        <f ca="1">IFERROR(__xludf.DUMMYFUNCTION("""COMPUTED_VALUE"""),"Butuan")</f>
        <v>Butuan</v>
      </c>
      <c r="D210" s="42"/>
      <c r="E210" s="42">
        <f ca="1">IFERROR(__xludf.DUMMYFUNCTION("""COMPUTED_VALUE"""),9485910378)</f>
        <v>9485910378</v>
      </c>
    </row>
    <row r="211" spans="1:5" ht="12.5">
      <c r="A211" s="42" t="str">
        <f ca="1">IFERROR(__xludf.DUMMYFUNCTION("""COMPUTED_VALUE"""),"Cherry Ann H. Madaje")</f>
        <v>Cherry Ann H. Madaje</v>
      </c>
      <c r="B211" s="42" t="str">
        <f ca="1">IFERROR(__xludf.DUMMYFUNCTION("""COMPUTED_VALUE"""),"F")</f>
        <v>F</v>
      </c>
      <c r="C211" s="42" t="str">
        <f ca="1">IFERROR(__xludf.DUMMYFUNCTION("""COMPUTED_VALUE"""),"Butuan")</f>
        <v>Butuan</v>
      </c>
      <c r="D211" s="42"/>
      <c r="E211" s="42">
        <f ca="1">IFERROR(__xludf.DUMMYFUNCTION("""COMPUTED_VALUE"""),9927722933)</f>
        <v>9927722933</v>
      </c>
    </row>
    <row r="212" spans="1:5" ht="12.5">
      <c r="A212" s="42" t="str">
        <f ca="1">IFERROR(__xludf.DUMMYFUNCTION("""COMPUTED_VALUE"""),"Herex Siegfred L. Divinagracia")</f>
        <v>Herex Siegfred L. Divinagracia</v>
      </c>
      <c r="B212" s="42" t="str">
        <f ca="1">IFERROR(__xludf.DUMMYFUNCTION("""COMPUTED_VALUE"""),"M")</f>
        <v>M</v>
      </c>
      <c r="C212" s="42" t="str">
        <f ca="1">IFERROR(__xludf.DUMMYFUNCTION("""COMPUTED_VALUE"""),"Butuan")</f>
        <v>Butuan</v>
      </c>
      <c r="D212" s="42"/>
      <c r="E212" s="42">
        <f ca="1">IFERROR(__xludf.DUMMYFUNCTION("""COMPUTED_VALUE"""),9672131566)</f>
        <v>9672131566</v>
      </c>
    </row>
    <row r="213" spans="1:5" ht="12.5">
      <c r="A213" s="42" t="str">
        <f ca="1">IFERROR(__xludf.DUMMYFUNCTION("""COMPUTED_VALUE"""),"Hazel Mae F. Prais")</f>
        <v>Hazel Mae F. Prais</v>
      </c>
      <c r="B213" s="42" t="str">
        <f ca="1">IFERROR(__xludf.DUMMYFUNCTION("""COMPUTED_VALUE"""),"F")</f>
        <v>F</v>
      </c>
      <c r="C213" s="42" t="str">
        <f ca="1">IFERROR(__xludf.DUMMYFUNCTION("""COMPUTED_VALUE"""),"Bayugan")</f>
        <v>Bayugan</v>
      </c>
      <c r="D213" s="42"/>
      <c r="E213" s="42">
        <f ca="1">IFERROR(__xludf.DUMMYFUNCTION("""COMPUTED_VALUE"""),9814137244)</f>
        <v>9814137244</v>
      </c>
    </row>
    <row r="214" spans="1:5" ht="12.5">
      <c r="A214" s="42" t="str">
        <f ca="1">IFERROR(__xludf.DUMMYFUNCTION("""COMPUTED_VALUE"""),"Kyla P. Escamillan")</f>
        <v>Kyla P. Escamillan</v>
      </c>
      <c r="B214" s="42" t="str">
        <f ca="1">IFERROR(__xludf.DUMMYFUNCTION("""COMPUTED_VALUE"""),"F")</f>
        <v>F</v>
      </c>
      <c r="C214" s="42" t="str">
        <f ca="1">IFERROR(__xludf.DUMMYFUNCTION("""COMPUTED_VALUE"""),"Butuan")</f>
        <v>Butuan</v>
      </c>
      <c r="D214" s="42"/>
      <c r="E214" s="42">
        <f ca="1">IFERROR(__xludf.DUMMYFUNCTION("""COMPUTED_VALUE"""),9216871698)</f>
        <v>9216871698</v>
      </c>
    </row>
    <row r="215" spans="1:5" ht="12.5">
      <c r="A215" s="42" t="str">
        <f ca="1">IFERROR(__xludf.DUMMYFUNCTION("""COMPUTED_VALUE"""),"Andrew P. Weckes")</f>
        <v>Andrew P. Weckes</v>
      </c>
      <c r="B215" s="42" t="str">
        <f ca="1">IFERROR(__xludf.DUMMYFUNCTION("""COMPUTED_VALUE"""),"M")</f>
        <v>M</v>
      </c>
      <c r="C215" s="42" t="str">
        <f ca="1">IFERROR(__xludf.DUMMYFUNCTION("""COMPUTED_VALUE"""),"Butuan")</f>
        <v>Butuan</v>
      </c>
      <c r="D215" s="42"/>
      <c r="E215" s="42">
        <f ca="1">IFERROR(__xludf.DUMMYFUNCTION("""COMPUTED_VALUE"""),9060819015)</f>
        <v>9060819015</v>
      </c>
    </row>
    <row r="216" spans="1:5" ht="12.5">
      <c r="A216" s="42" t="str">
        <f ca="1">IFERROR(__xludf.DUMMYFUNCTION("""COMPUTED_VALUE"""),"Sharmaine Joyce P. Dahang")</f>
        <v>Sharmaine Joyce P. Dahang</v>
      </c>
      <c r="B216" s="42" t="str">
        <f ca="1">IFERROR(__xludf.DUMMYFUNCTION("""COMPUTED_VALUE"""),"F")</f>
        <v>F</v>
      </c>
      <c r="C216" s="42" t="str">
        <f ca="1">IFERROR(__xludf.DUMMYFUNCTION("""COMPUTED_VALUE"""),"Nasipit")</f>
        <v>Nasipit</v>
      </c>
      <c r="D216" s="42"/>
      <c r="E216" s="42">
        <f ca="1">IFERROR(__xludf.DUMMYFUNCTION("""COMPUTED_VALUE"""),9173079701)</f>
        <v>9173079701</v>
      </c>
    </row>
    <row r="217" spans="1:5" ht="12.5">
      <c r="A217" s="42" t="str">
        <f ca="1">IFERROR(__xludf.DUMMYFUNCTION("""COMPUTED_VALUE"""),"Amiel Kit M. Tiburon")</f>
        <v>Amiel Kit M. Tiburon</v>
      </c>
      <c r="B217" s="42" t="str">
        <f ca="1">IFERROR(__xludf.DUMMYFUNCTION("""COMPUTED_VALUE"""),"M")</f>
        <v>M</v>
      </c>
      <c r="C217" s="42" t="str">
        <f ca="1">IFERROR(__xludf.DUMMYFUNCTION("""COMPUTED_VALUE"""),"Butuan")</f>
        <v>Butuan</v>
      </c>
      <c r="D217" s="42"/>
      <c r="E217" s="42">
        <f ca="1">IFERROR(__xludf.DUMMYFUNCTION("""COMPUTED_VALUE"""),9639126969)</f>
        <v>9639126969</v>
      </c>
    </row>
    <row r="218" spans="1:5" ht="12.5">
      <c r="A218" s="42" t="str">
        <f ca="1">IFERROR(__xludf.DUMMYFUNCTION("""COMPUTED_VALUE"""),"Larry A. Pasula")</f>
        <v>Larry A. Pasula</v>
      </c>
      <c r="B218" s="42" t="str">
        <f ca="1">IFERROR(__xludf.DUMMYFUNCTION("""COMPUTED_VALUE"""),"M")</f>
        <v>M</v>
      </c>
      <c r="C218" s="42" t="str">
        <f ca="1">IFERROR(__xludf.DUMMYFUNCTION("""COMPUTED_VALUE"""),"Butuan")</f>
        <v>Butuan</v>
      </c>
      <c r="D218" s="42"/>
      <c r="E218" s="42">
        <f ca="1">IFERROR(__xludf.DUMMYFUNCTION("""COMPUTED_VALUE"""),9163102662)</f>
        <v>9163102662</v>
      </c>
    </row>
    <row r="219" spans="1:5" ht="12.5">
      <c r="A219" s="42" t="str">
        <f ca="1">IFERROR(__xludf.DUMMYFUNCTION("""COMPUTED_VALUE"""),"Cindy E. Arroz")</f>
        <v>Cindy E. Arroz</v>
      </c>
      <c r="B219" s="42" t="str">
        <f ca="1">IFERROR(__xludf.DUMMYFUNCTION("""COMPUTED_VALUE"""),"F")</f>
        <v>F</v>
      </c>
      <c r="C219" s="42" t="str">
        <f ca="1">IFERROR(__xludf.DUMMYFUNCTION("""COMPUTED_VALUE"""),"Nasipit")</f>
        <v>Nasipit</v>
      </c>
      <c r="D219" s="42"/>
      <c r="E219" s="42">
        <f ca="1">IFERROR(__xludf.DUMMYFUNCTION("""COMPUTED_VALUE"""),9484606511)</f>
        <v>9484606511</v>
      </c>
    </row>
    <row r="220" spans="1:5" ht="12.5">
      <c r="A220" s="42" t="str">
        <f ca="1">IFERROR(__xludf.DUMMYFUNCTION("""COMPUTED_VALUE"""),"Irene R. Duray")</f>
        <v>Irene R. Duray</v>
      </c>
      <c r="B220" s="42" t="str">
        <f ca="1">IFERROR(__xludf.DUMMYFUNCTION("""COMPUTED_VALUE"""),"F")</f>
        <v>F</v>
      </c>
      <c r="C220" s="42" t="str">
        <f ca="1">IFERROR(__xludf.DUMMYFUNCTION("""COMPUTED_VALUE"""),"Tiniwisan")</f>
        <v>Tiniwisan</v>
      </c>
      <c r="D220" s="42"/>
      <c r="E220" s="42">
        <f ca="1">IFERROR(__xludf.DUMMYFUNCTION("""COMPUTED_VALUE"""),9120555994)</f>
        <v>9120555994</v>
      </c>
    </row>
    <row r="221" spans="1:5" ht="12.5">
      <c r="A221" s="42" t="str">
        <f ca="1">IFERROR(__xludf.DUMMYFUNCTION("""COMPUTED_VALUE"""),"Ellen M. Marsada")</f>
        <v>Ellen M. Marsada</v>
      </c>
      <c r="B221" s="42" t="str">
        <f ca="1">IFERROR(__xludf.DUMMYFUNCTION("""COMPUTED_VALUE"""),"F")</f>
        <v>F</v>
      </c>
      <c r="C221" s="42" t="str">
        <f ca="1">IFERROR(__xludf.DUMMYFUNCTION("""COMPUTED_VALUE"""),"Butuan")</f>
        <v>Butuan</v>
      </c>
      <c r="D221" s="42"/>
      <c r="E221" s="42">
        <f ca="1">IFERROR(__xludf.DUMMYFUNCTION("""COMPUTED_VALUE"""),9276340434)</f>
        <v>9276340434</v>
      </c>
    </row>
    <row r="222" spans="1:5" ht="12.5">
      <c r="A222" s="42" t="str">
        <f ca="1">IFERROR(__xludf.DUMMYFUNCTION("""COMPUTED_VALUE"""),"April Mae L. Conde")</f>
        <v>April Mae L. Conde</v>
      </c>
      <c r="B222" s="42" t="str">
        <f ca="1">IFERROR(__xludf.DUMMYFUNCTION("""COMPUTED_VALUE"""),"F")</f>
        <v>F</v>
      </c>
      <c r="C222" s="42" t="str">
        <f ca="1">IFERROR(__xludf.DUMMYFUNCTION("""COMPUTED_VALUE"""),"Butuan")</f>
        <v>Butuan</v>
      </c>
      <c r="D222" s="42"/>
      <c r="E222" s="42">
        <f ca="1">IFERROR(__xludf.DUMMYFUNCTION("""COMPUTED_VALUE"""),9105196675)</f>
        <v>9105196675</v>
      </c>
    </row>
    <row r="223" spans="1:5" ht="12.5">
      <c r="A223" s="42" t="str">
        <f ca="1">IFERROR(__xludf.DUMMYFUNCTION("""COMPUTED_VALUE"""),"Angelica I. Gonzaga")</f>
        <v>Angelica I. Gonzaga</v>
      </c>
      <c r="B223" s="42" t="str">
        <f ca="1">IFERROR(__xludf.DUMMYFUNCTION("""COMPUTED_VALUE"""),"F")</f>
        <v>F</v>
      </c>
      <c r="C223" s="42" t="str">
        <f ca="1">IFERROR(__xludf.DUMMYFUNCTION("""COMPUTED_VALUE"""),"Buenavista")</f>
        <v>Buenavista</v>
      </c>
      <c r="D223" s="42"/>
      <c r="E223" s="42">
        <f ca="1">IFERROR(__xludf.DUMMYFUNCTION("""COMPUTED_VALUE"""),9381561860)</f>
        <v>9381561860</v>
      </c>
    </row>
    <row r="224" spans="1:5" ht="12.5">
      <c r="A224" s="42" t="str">
        <f ca="1">IFERROR(__xludf.DUMMYFUNCTION("""COMPUTED_VALUE"""),"Kevin C. Bergautin")</f>
        <v>Kevin C. Bergautin</v>
      </c>
      <c r="B224" s="42" t="str">
        <f ca="1">IFERROR(__xludf.DUMMYFUNCTION("""COMPUTED_VALUE"""),"M")</f>
        <v>M</v>
      </c>
      <c r="C224" s="42" t="str">
        <f ca="1">IFERROR(__xludf.DUMMYFUNCTION("""COMPUTED_VALUE"""),"Butuan")</f>
        <v>Butuan</v>
      </c>
      <c r="D224" s="42"/>
      <c r="E224" s="42">
        <f ca="1">IFERROR(__xludf.DUMMYFUNCTION("""COMPUTED_VALUE"""),9633434105)</f>
        <v>9633434105</v>
      </c>
    </row>
    <row r="225" spans="1:5" ht="12.5">
      <c r="A225" s="42" t="str">
        <f ca="1">IFERROR(__xludf.DUMMYFUNCTION("""COMPUTED_VALUE"""),"Almira S. Dumaplin")</f>
        <v>Almira S. Dumaplin</v>
      </c>
      <c r="B225" s="42" t="str">
        <f ca="1">IFERROR(__xludf.DUMMYFUNCTION("""COMPUTED_VALUE"""),"F")</f>
        <v>F</v>
      </c>
      <c r="C225" s="42" t="str">
        <f ca="1">IFERROR(__xludf.DUMMYFUNCTION("""COMPUTED_VALUE"""),"Butuan")</f>
        <v>Butuan</v>
      </c>
      <c r="D225" s="42"/>
      <c r="E225" s="42">
        <f ca="1">IFERROR(__xludf.DUMMYFUNCTION("""COMPUTED_VALUE"""),9922291209)</f>
        <v>9922291209</v>
      </c>
    </row>
    <row r="226" spans="1:5" ht="12.5">
      <c r="A226" s="42" t="str">
        <f ca="1">IFERROR(__xludf.DUMMYFUNCTION("""COMPUTED_VALUE"""),"Faith Ann T. Cultura")</f>
        <v>Faith Ann T. Cultura</v>
      </c>
      <c r="B226" s="42" t="str">
        <f ca="1">IFERROR(__xludf.DUMMYFUNCTION("""COMPUTED_VALUE"""),"F")</f>
        <v>F</v>
      </c>
      <c r="C226" s="42" t="str">
        <f ca="1">IFERROR(__xludf.DUMMYFUNCTION("""COMPUTED_VALUE"""),"Butuan")</f>
        <v>Butuan</v>
      </c>
      <c r="D226" s="42"/>
      <c r="E226" s="42">
        <f ca="1">IFERROR(__xludf.DUMMYFUNCTION("""COMPUTED_VALUE"""),9072065782)</f>
        <v>9072065782</v>
      </c>
    </row>
    <row r="227" spans="1:5" ht="12.5">
      <c r="A227" s="42" t="str">
        <f ca="1">IFERROR(__xludf.DUMMYFUNCTION("""COMPUTED_VALUE"""),"Queenie C. Dagoc")</f>
        <v>Queenie C. Dagoc</v>
      </c>
      <c r="B227" s="42" t="str">
        <f ca="1">IFERROR(__xludf.DUMMYFUNCTION("""COMPUTED_VALUE"""),"F")</f>
        <v>F</v>
      </c>
      <c r="C227" s="42" t="str">
        <f ca="1">IFERROR(__xludf.DUMMYFUNCTION("""COMPUTED_VALUE"""),"Butuan")</f>
        <v>Butuan</v>
      </c>
      <c r="D227" s="42"/>
      <c r="E227" s="42">
        <f ca="1">IFERROR(__xludf.DUMMYFUNCTION("""COMPUTED_VALUE"""),9770948818)</f>
        <v>9770948818</v>
      </c>
    </row>
    <row r="228" spans="1:5" ht="12.5">
      <c r="A228" s="42" t="str">
        <f ca="1">IFERROR(__xludf.DUMMYFUNCTION("""COMPUTED_VALUE"""),"Jonielin D. Tañaña")</f>
        <v>Jonielin D. Tañaña</v>
      </c>
      <c r="B228" s="42" t="str">
        <f ca="1">IFERROR(__xludf.DUMMYFUNCTION("""COMPUTED_VALUE"""),"F")</f>
        <v>F</v>
      </c>
      <c r="C228" s="42" t="str">
        <f ca="1">IFERROR(__xludf.DUMMYFUNCTION("""COMPUTED_VALUE"""),"Butuan")</f>
        <v>Butuan</v>
      </c>
      <c r="D228" s="42"/>
      <c r="E228" s="42">
        <f ca="1">IFERROR(__xludf.DUMMYFUNCTION("""COMPUTED_VALUE"""),9512538807)</f>
        <v>9512538807</v>
      </c>
    </row>
    <row r="229" spans="1:5" ht="12.5">
      <c r="A229" s="42" t="str">
        <f ca="1">IFERROR(__xludf.DUMMYFUNCTION("""COMPUTED_VALUE"""),"Janith L. Compendio")</f>
        <v>Janith L. Compendio</v>
      </c>
      <c r="B229" s="42" t="str">
        <f ca="1">IFERROR(__xludf.DUMMYFUNCTION("""COMPUTED_VALUE"""),"F")</f>
        <v>F</v>
      </c>
      <c r="C229" s="42" t="str">
        <f ca="1">IFERROR(__xludf.DUMMYFUNCTION("""COMPUTED_VALUE"""),"Butuan")</f>
        <v>Butuan</v>
      </c>
      <c r="D229" s="42"/>
      <c r="E229" s="42">
        <f ca="1">IFERROR(__xludf.DUMMYFUNCTION("""COMPUTED_VALUE"""),9917191453)</f>
        <v>9917191453</v>
      </c>
    </row>
    <row r="230" spans="1:5" ht="12.5">
      <c r="A230" s="42" t="str">
        <f ca="1">IFERROR(__xludf.DUMMYFUNCTION("""COMPUTED_VALUE"""),"Rusty A. Gayoso")</f>
        <v>Rusty A. Gayoso</v>
      </c>
      <c r="B230" s="42" t="str">
        <f ca="1">IFERROR(__xludf.DUMMYFUNCTION("""COMPUTED_VALUE"""),"M")</f>
        <v>M</v>
      </c>
      <c r="C230" s="42" t="str">
        <f ca="1">IFERROR(__xludf.DUMMYFUNCTION("""COMPUTED_VALUE"""),"Butuan")</f>
        <v>Butuan</v>
      </c>
      <c r="D230" s="42"/>
      <c r="E230" s="42">
        <f ca="1">IFERROR(__xludf.DUMMYFUNCTION("""COMPUTED_VALUE"""),9103144912)</f>
        <v>9103144912</v>
      </c>
    </row>
    <row r="231" spans="1:5" ht="12.5">
      <c r="A231" s="42" t="str">
        <f ca="1">IFERROR(__xludf.DUMMYFUNCTION("""COMPUTED_VALUE"""),"Lovely C. Balgoa")</f>
        <v>Lovely C. Balgoa</v>
      </c>
      <c r="B231" s="42" t="str">
        <f ca="1">IFERROR(__xludf.DUMMYFUNCTION("""COMPUTED_VALUE"""),"F")</f>
        <v>F</v>
      </c>
      <c r="C231" s="42" t="str">
        <f ca="1">IFERROR(__xludf.DUMMYFUNCTION("""COMPUTED_VALUE"""),"Butuan")</f>
        <v>Butuan</v>
      </c>
      <c r="D231" s="42"/>
      <c r="E231" s="42">
        <f ca="1">IFERROR(__xludf.DUMMYFUNCTION("""COMPUTED_VALUE"""),9923800171)</f>
        <v>9923800171</v>
      </c>
    </row>
    <row r="232" spans="1:5" ht="12.5">
      <c r="A232" s="42" t="str">
        <f ca="1">IFERROR(__xludf.DUMMYFUNCTION("""COMPUTED_VALUE"""),"Danilo G. Miranda Jr.")</f>
        <v>Danilo G. Miranda Jr.</v>
      </c>
      <c r="B232" s="42" t="str">
        <f ca="1">IFERROR(__xludf.DUMMYFUNCTION("""COMPUTED_VALUE"""),"M")</f>
        <v>M</v>
      </c>
      <c r="C232" s="42" t="str">
        <f ca="1">IFERROR(__xludf.DUMMYFUNCTION("""COMPUTED_VALUE"""),"Butuan")</f>
        <v>Butuan</v>
      </c>
      <c r="D232" s="42"/>
      <c r="E232" s="42">
        <f ca="1">IFERROR(__xludf.DUMMYFUNCTION("""COMPUTED_VALUE"""),9151326393)</f>
        <v>9151326393</v>
      </c>
    </row>
    <row r="233" spans="1:5" ht="12.5">
      <c r="A233" s="42" t="str">
        <f ca="1">IFERROR(__xludf.DUMMYFUNCTION("""COMPUTED_VALUE"""),"Sheine P. Villarin")</f>
        <v>Sheine P. Villarin</v>
      </c>
      <c r="B233" s="42" t="str">
        <f ca="1">IFERROR(__xludf.DUMMYFUNCTION("""COMPUTED_VALUE"""),"F")</f>
        <v>F</v>
      </c>
      <c r="C233" s="42" t="str">
        <f ca="1">IFERROR(__xludf.DUMMYFUNCTION("""COMPUTED_VALUE"""),"Butuan")</f>
        <v>Butuan</v>
      </c>
      <c r="D233" s="42"/>
      <c r="E233" s="42">
        <f ca="1">IFERROR(__xludf.DUMMYFUNCTION("""COMPUTED_VALUE"""),9701668231)</f>
        <v>9701668231</v>
      </c>
    </row>
    <row r="234" spans="1:5" ht="12.5">
      <c r="A234" s="42" t="str">
        <f ca="1">IFERROR(__xludf.DUMMYFUNCTION("""COMPUTED_VALUE"""),"Argie M. Lorena")</f>
        <v>Argie M. Lorena</v>
      </c>
      <c r="B234" s="42" t="str">
        <f ca="1">IFERROR(__xludf.DUMMYFUNCTION("""COMPUTED_VALUE"""),"M")</f>
        <v>M</v>
      </c>
      <c r="C234" s="42" t="str">
        <f ca="1">IFERROR(__xludf.DUMMYFUNCTION("""COMPUTED_VALUE"""),"Butuan")</f>
        <v>Butuan</v>
      </c>
      <c r="D234" s="42"/>
      <c r="E234" s="42">
        <f ca="1">IFERROR(__xludf.DUMMYFUNCTION("""COMPUTED_VALUE"""),9918730608)</f>
        <v>9918730608</v>
      </c>
    </row>
    <row r="235" spans="1:5" ht="12.5">
      <c r="A235" s="42" t="str">
        <f ca="1">IFERROR(__xludf.DUMMYFUNCTION("""COMPUTED_VALUE"""),"Rusty D. Dahit")</f>
        <v>Rusty D. Dahit</v>
      </c>
      <c r="B235" s="42" t="str">
        <f ca="1">IFERROR(__xludf.DUMMYFUNCTION("""COMPUTED_VALUE"""),"M")</f>
        <v>M</v>
      </c>
      <c r="C235" s="42" t="str">
        <f ca="1">IFERROR(__xludf.DUMMYFUNCTION("""COMPUTED_VALUE"""),"Butuan")</f>
        <v>Butuan</v>
      </c>
      <c r="D235" s="42"/>
      <c r="E235" s="42">
        <f ca="1">IFERROR(__xludf.DUMMYFUNCTION("""COMPUTED_VALUE"""),9583384523)</f>
        <v>9583384523</v>
      </c>
    </row>
    <row r="236" spans="1:5" ht="12.5">
      <c r="A236" s="42" t="str">
        <f ca="1">IFERROR(__xludf.DUMMYFUNCTION("""COMPUTED_VALUE"""),"Christopher M. Gerongco")</f>
        <v>Christopher M. Gerongco</v>
      </c>
      <c r="B236" s="42" t="str">
        <f ca="1">IFERROR(__xludf.DUMMYFUNCTION("""COMPUTED_VALUE"""),"M")</f>
        <v>M</v>
      </c>
      <c r="C236" s="42" t="str">
        <f ca="1">IFERROR(__xludf.DUMMYFUNCTION("""COMPUTED_VALUE"""),"Prosperidad")</f>
        <v>Prosperidad</v>
      </c>
      <c r="D236" s="42"/>
      <c r="E236" s="42">
        <f ca="1">IFERROR(__xludf.DUMMYFUNCTION("""COMPUTED_VALUE"""),9639698603)</f>
        <v>9639698603</v>
      </c>
    </row>
    <row r="237" spans="1:5" ht="12.5">
      <c r="A237" s="42" t="str">
        <f ca="1">IFERROR(__xludf.DUMMYFUNCTION("""COMPUTED_VALUE"""),"Jhane Jaspher C. Cabantac")</f>
        <v>Jhane Jaspher C. Cabantac</v>
      </c>
      <c r="B237" s="42" t="str">
        <f ca="1">IFERROR(__xludf.DUMMYFUNCTION("""COMPUTED_VALUE"""),"M")</f>
        <v>M</v>
      </c>
      <c r="C237" s="42" t="str">
        <f ca="1">IFERROR(__xludf.DUMMYFUNCTION("""COMPUTED_VALUE"""),"Prosperidad")</f>
        <v>Prosperidad</v>
      </c>
      <c r="D237" s="42"/>
      <c r="E237" s="42">
        <f ca="1">IFERROR(__xludf.DUMMYFUNCTION("""COMPUTED_VALUE"""),9760605838)</f>
        <v>9760605838</v>
      </c>
    </row>
    <row r="238" spans="1:5" ht="12.5">
      <c r="A238" s="42" t="str">
        <f ca="1">IFERROR(__xludf.DUMMYFUNCTION("""COMPUTED_VALUE"""),"Jesa Mae A. Calo")</f>
        <v>Jesa Mae A. Calo</v>
      </c>
      <c r="B238" s="42" t="str">
        <f ca="1">IFERROR(__xludf.DUMMYFUNCTION("""COMPUTED_VALUE"""),"F")</f>
        <v>F</v>
      </c>
      <c r="C238" s="42" t="str">
        <f ca="1">IFERROR(__xludf.DUMMYFUNCTION("""COMPUTED_VALUE"""),"Butuan")</f>
        <v>Butuan</v>
      </c>
      <c r="D238" s="42"/>
      <c r="E238" s="42">
        <f ca="1">IFERROR(__xludf.DUMMYFUNCTION("""COMPUTED_VALUE"""),9152698992)</f>
        <v>9152698992</v>
      </c>
    </row>
    <row r="239" spans="1:5" ht="12.5">
      <c r="A239" s="42" t="str">
        <f ca="1">IFERROR(__xludf.DUMMYFUNCTION("""COMPUTED_VALUE"""),"Jonah May B. Escabarte")</f>
        <v>Jonah May B. Escabarte</v>
      </c>
      <c r="B239" s="42" t="str">
        <f ca="1">IFERROR(__xludf.DUMMYFUNCTION("""COMPUTED_VALUE"""),"F")</f>
        <v>F</v>
      </c>
      <c r="C239" s="42" t="str">
        <f ca="1">IFERROR(__xludf.DUMMYFUNCTION("""COMPUTED_VALUE"""),"Kitcharao")</f>
        <v>Kitcharao</v>
      </c>
      <c r="D239" s="42"/>
      <c r="E239" s="42">
        <f ca="1">IFERROR(__xludf.DUMMYFUNCTION("""COMPUTED_VALUE"""),9815968029)</f>
        <v>9815968029</v>
      </c>
    </row>
    <row r="240" spans="1:5" ht="12.5">
      <c r="A240" s="42" t="str">
        <f ca="1">IFERROR(__xludf.DUMMYFUNCTION("""COMPUTED_VALUE"""),"Angel Grace Flores")</f>
        <v>Angel Grace Flores</v>
      </c>
      <c r="B240" s="42" t="str">
        <f ca="1">IFERROR(__xludf.DUMMYFUNCTION("""COMPUTED_VALUE"""),"F")</f>
        <v>F</v>
      </c>
      <c r="C240" s="42" t="str">
        <f ca="1">IFERROR(__xludf.DUMMYFUNCTION("""COMPUTED_VALUE"""),"Butuan")</f>
        <v>Butuan</v>
      </c>
      <c r="D240" s="42"/>
      <c r="E240" s="42">
        <f ca="1">IFERROR(__xludf.DUMMYFUNCTION("""COMPUTED_VALUE"""),9951849808)</f>
        <v>9951849808</v>
      </c>
    </row>
    <row r="241" spans="1:5" ht="12.5">
      <c r="A241" s="42" t="str">
        <f ca="1">IFERROR(__xludf.DUMMYFUNCTION("""COMPUTED_VALUE"""),"Chena Mae R. Datoon")</f>
        <v>Chena Mae R. Datoon</v>
      </c>
      <c r="B241" s="42" t="str">
        <f ca="1">IFERROR(__xludf.DUMMYFUNCTION("""COMPUTED_VALUE"""),"F")</f>
        <v>F</v>
      </c>
      <c r="C241" s="42" t="str">
        <f ca="1">IFERROR(__xludf.DUMMYFUNCTION("""COMPUTED_VALUE"""),"Butuan")</f>
        <v>Butuan</v>
      </c>
      <c r="D241" s="42"/>
      <c r="E241" s="42">
        <f ca="1">IFERROR(__xludf.DUMMYFUNCTION("""COMPUTED_VALUE"""),9957203875)</f>
        <v>9957203875</v>
      </c>
    </row>
    <row r="242" spans="1:5" ht="12.5">
      <c r="A242" s="42" t="str">
        <f ca="1">IFERROR(__xludf.DUMMYFUNCTION("""COMPUTED_VALUE"""),"Leanne Roneric Janglay")</f>
        <v>Leanne Roneric Janglay</v>
      </c>
      <c r="B242" s="42" t="str">
        <f ca="1">IFERROR(__xludf.DUMMYFUNCTION("""COMPUTED_VALUE"""),"M")</f>
        <v>M</v>
      </c>
      <c r="C242" s="42" t="str">
        <f ca="1">IFERROR(__xludf.DUMMYFUNCTION("""COMPUTED_VALUE"""),"Butuan")</f>
        <v>Butuan</v>
      </c>
      <c r="D242" s="42"/>
      <c r="E242" s="42">
        <f ca="1">IFERROR(__xludf.DUMMYFUNCTION("""COMPUTED_VALUE"""),9913729496)</f>
        <v>9913729496</v>
      </c>
    </row>
    <row r="243" spans="1:5" ht="12.5">
      <c r="A243" s="42" t="str">
        <f ca="1">IFERROR(__xludf.DUMMYFUNCTION("""COMPUTED_VALUE"""),"Nelson M. Quilaton")</f>
        <v>Nelson M. Quilaton</v>
      </c>
      <c r="B243" s="42" t="str">
        <f ca="1">IFERROR(__xludf.DUMMYFUNCTION("""COMPUTED_VALUE"""),"M")</f>
        <v>M</v>
      </c>
      <c r="C243" s="42" t="str">
        <f ca="1">IFERROR(__xludf.DUMMYFUNCTION("""COMPUTED_VALUE"""),"Nasipit")</f>
        <v>Nasipit</v>
      </c>
      <c r="D243" s="42"/>
      <c r="E243" s="42">
        <f ca="1">IFERROR(__xludf.DUMMYFUNCTION("""COMPUTED_VALUE"""),9656813612)</f>
        <v>9656813612</v>
      </c>
    </row>
    <row r="244" spans="1:5" ht="12.5">
      <c r="A244" s="42" t="str">
        <f ca="1">IFERROR(__xludf.DUMMYFUNCTION("""COMPUTED_VALUE"""),"Kyla Marie S. Otacan")</f>
        <v>Kyla Marie S. Otacan</v>
      </c>
      <c r="B244" s="42" t="str">
        <f ca="1">IFERROR(__xludf.DUMMYFUNCTION("""COMPUTED_VALUE"""),"F")</f>
        <v>F</v>
      </c>
      <c r="C244" s="42" t="str">
        <f ca="1">IFERROR(__xludf.DUMMYFUNCTION("""COMPUTED_VALUE"""),"Butuan")</f>
        <v>Butuan</v>
      </c>
      <c r="D244" s="42"/>
      <c r="E244" s="42">
        <f ca="1">IFERROR(__xludf.DUMMYFUNCTION("""COMPUTED_VALUE"""),9462936691)</f>
        <v>9462936691</v>
      </c>
    </row>
    <row r="245" spans="1:5" ht="12.5">
      <c r="A245" s="42" t="str">
        <f ca="1">IFERROR(__xludf.DUMMYFUNCTION("""COMPUTED_VALUE"""),"Corazon Escabal")</f>
        <v>Corazon Escabal</v>
      </c>
      <c r="B245" s="42" t="str">
        <f ca="1">IFERROR(__xludf.DUMMYFUNCTION("""COMPUTED_VALUE"""),"F")</f>
        <v>F</v>
      </c>
      <c r="C245" s="42" t="str">
        <f ca="1">IFERROR(__xludf.DUMMYFUNCTION("""COMPUTED_VALUE"""),"Butuan")</f>
        <v>Butuan</v>
      </c>
      <c r="D245" s="42"/>
      <c r="E245" s="42">
        <f ca="1">IFERROR(__xludf.DUMMYFUNCTION("""COMPUTED_VALUE"""),9105737940)</f>
        <v>9105737940</v>
      </c>
    </row>
    <row r="246" spans="1:5" ht="12.5">
      <c r="A246" s="42" t="str">
        <f ca="1">IFERROR(__xludf.DUMMYFUNCTION("""COMPUTED_VALUE"""),"Jeraldine Cabusao")</f>
        <v>Jeraldine Cabusao</v>
      </c>
      <c r="B246" s="42" t="str">
        <f ca="1">IFERROR(__xludf.DUMMYFUNCTION("""COMPUTED_VALUE"""),"F")</f>
        <v>F</v>
      </c>
      <c r="C246" s="42" t="str">
        <f ca="1">IFERROR(__xludf.DUMMYFUNCTION("""COMPUTED_VALUE"""),"Butuan")</f>
        <v>Butuan</v>
      </c>
      <c r="D246" s="42"/>
      <c r="E246" s="42">
        <f ca="1">IFERROR(__xludf.DUMMYFUNCTION("""COMPUTED_VALUE"""),9382080806)</f>
        <v>9382080806</v>
      </c>
    </row>
    <row r="247" spans="1:5" ht="12.5">
      <c r="A247" s="42" t="str">
        <f ca="1">IFERROR(__xludf.DUMMYFUNCTION("""COMPUTED_VALUE"""),"Jocelyn Gautala")</f>
        <v>Jocelyn Gautala</v>
      </c>
      <c r="B247" s="42" t="str">
        <f ca="1">IFERROR(__xludf.DUMMYFUNCTION("""COMPUTED_VALUE"""),"F")</f>
        <v>F</v>
      </c>
      <c r="C247" s="42" t="str">
        <f ca="1">IFERROR(__xludf.DUMMYFUNCTION("""COMPUTED_VALUE"""),"Buenavista")</f>
        <v>Buenavista</v>
      </c>
      <c r="D247" s="42"/>
      <c r="E247" s="42">
        <f ca="1">IFERROR(__xludf.DUMMYFUNCTION("""COMPUTED_VALUE"""),9455434209)</f>
        <v>9455434209</v>
      </c>
    </row>
    <row r="248" spans="1:5" ht="12.5">
      <c r="A248" s="42" t="str">
        <f ca="1">IFERROR(__xludf.DUMMYFUNCTION("""COMPUTED_VALUE"""),"Camille F. Rulona")</f>
        <v>Camille F. Rulona</v>
      </c>
      <c r="B248" s="42" t="str">
        <f ca="1">IFERROR(__xludf.DUMMYFUNCTION("""COMPUTED_VALUE"""),"F")</f>
        <v>F</v>
      </c>
      <c r="C248" s="42" t="str">
        <f ca="1">IFERROR(__xludf.DUMMYFUNCTION("""COMPUTED_VALUE"""),"Butuan")</f>
        <v>Butuan</v>
      </c>
      <c r="D248" s="42"/>
      <c r="E248" s="42">
        <f ca="1">IFERROR(__xludf.DUMMYFUNCTION("""COMPUTED_VALUE"""),9928582289)</f>
        <v>9928582289</v>
      </c>
    </row>
    <row r="249" spans="1:5" ht="12.5">
      <c r="A249" s="42" t="str">
        <f ca="1">IFERROR(__xludf.DUMMYFUNCTION("""COMPUTED_VALUE"""),"Juren Vergel Vicaoam")</f>
        <v>Juren Vergel Vicaoam</v>
      </c>
      <c r="B249" s="42" t="str">
        <f ca="1">IFERROR(__xludf.DUMMYFUNCTION("""COMPUTED_VALUE"""),"M")</f>
        <v>M</v>
      </c>
      <c r="C249" s="42" t="str">
        <f ca="1">IFERROR(__xludf.DUMMYFUNCTION("""COMPUTED_VALUE"""),"Butuan")</f>
        <v>Butuan</v>
      </c>
      <c r="D249" s="42"/>
      <c r="E249" s="42">
        <f ca="1">IFERROR(__xludf.DUMMYFUNCTION("""COMPUTED_VALUE"""),9556487735)</f>
        <v>9556487735</v>
      </c>
    </row>
    <row r="250" spans="1:5" ht="12.5">
      <c r="A250" s="42" t="str">
        <f ca="1">IFERROR(__xludf.DUMMYFUNCTION("""COMPUTED_VALUE"""),"Ivan Lester R. Donoso")</f>
        <v>Ivan Lester R. Donoso</v>
      </c>
      <c r="B250" s="42" t="str">
        <f ca="1">IFERROR(__xludf.DUMMYFUNCTION("""COMPUTED_VALUE"""),"M")</f>
        <v>M</v>
      </c>
      <c r="C250" s="42" t="str">
        <f ca="1">IFERROR(__xludf.DUMMYFUNCTION("""COMPUTED_VALUE"""),"Butuan")</f>
        <v>Butuan</v>
      </c>
      <c r="D250" s="42"/>
      <c r="E250" s="42">
        <f ca="1">IFERROR(__xludf.DUMMYFUNCTION("""COMPUTED_VALUE"""),9925860061)</f>
        <v>9925860061</v>
      </c>
    </row>
    <row r="251" spans="1:5" ht="12.5">
      <c r="A251" s="42" t="str">
        <f ca="1">IFERROR(__xludf.DUMMYFUNCTION("""COMPUTED_VALUE"""),"Joseph Edward Plaza")</f>
        <v>Joseph Edward Plaza</v>
      </c>
      <c r="B251" s="42" t="str">
        <f ca="1">IFERROR(__xludf.DUMMYFUNCTION("""COMPUTED_VALUE"""),"M")</f>
        <v>M</v>
      </c>
      <c r="C251" s="42" t="str">
        <f ca="1">IFERROR(__xludf.DUMMYFUNCTION("""COMPUTED_VALUE"""),"Butuan")</f>
        <v>Butuan</v>
      </c>
      <c r="D251" s="42"/>
      <c r="E251" s="42">
        <f ca="1">IFERROR(__xludf.DUMMYFUNCTION("""COMPUTED_VALUE"""),9055644620)</f>
        <v>9055644620</v>
      </c>
    </row>
    <row r="252" spans="1:5" ht="12.5">
      <c r="A252" s="42" t="str">
        <f ca="1">IFERROR(__xludf.DUMMYFUNCTION("""COMPUTED_VALUE"""),"Jeetia J. Catampatan")</f>
        <v>Jeetia J. Catampatan</v>
      </c>
      <c r="B252" s="42" t="str">
        <f ca="1">IFERROR(__xludf.DUMMYFUNCTION("""COMPUTED_VALUE"""),"F")</f>
        <v>F</v>
      </c>
      <c r="C252" s="42" t="str">
        <f ca="1">IFERROR(__xludf.DUMMYFUNCTION("""COMPUTED_VALUE"""),"Tubay")</f>
        <v>Tubay</v>
      </c>
      <c r="D252" s="42"/>
      <c r="E252" s="42">
        <f ca="1">IFERROR(__xludf.DUMMYFUNCTION("""COMPUTED_VALUE"""),9121601460)</f>
        <v>9121601460</v>
      </c>
    </row>
    <row r="253" spans="1:5" ht="12.5">
      <c r="A253" s="42" t="str">
        <f ca="1">IFERROR(__xludf.DUMMYFUNCTION("""COMPUTED_VALUE"""),"Jay-R T. Cabusao")</f>
        <v>Jay-R T. Cabusao</v>
      </c>
      <c r="B253" s="42" t="str">
        <f ca="1">IFERROR(__xludf.DUMMYFUNCTION("""COMPUTED_VALUE"""),"M")</f>
        <v>M</v>
      </c>
      <c r="C253" s="42" t="str">
        <f ca="1">IFERROR(__xludf.DUMMYFUNCTION("""COMPUTED_VALUE"""),"Buenavista")</f>
        <v>Buenavista</v>
      </c>
      <c r="D253" s="42"/>
      <c r="E253" s="42">
        <f ca="1">IFERROR(__xludf.DUMMYFUNCTION("""COMPUTED_VALUE"""),9072928714)</f>
        <v>9072928714</v>
      </c>
    </row>
    <row r="254" spans="1:5" ht="12.5">
      <c r="A254" s="42" t="str">
        <f ca="1">IFERROR(__xludf.DUMMYFUNCTION("""COMPUTED_VALUE"""),"Fits Gerald G. Delfin")</f>
        <v>Fits Gerald G. Delfin</v>
      </c>
      <c r="B254" s="42" t="str">
        <f ca="1">IFERROR(__xludf.DUMMYFUNCTION("""COMPUTED_VALUE"""),"M")</f>
        <v>M</v>
      </c>
      <c r="C254" s="42" t="str">
        <f ca="1">IFERROR(__xludf.DUMMYFUNCTION("""COMPUTED_VALUE"""),"Butuan")</f>
        <v>Butuan</v>
      </c>
      <c r="D254" s="42"/>
      <c r="E254" s="42">
        <f ca="1">IFERROR(__xludf.DUMMYFUNCTION("""COMPUTED_VALUE"""),9458096054)</f>
        <v>9458096054</v>
      </c>
    </row>
    <row r="255" spans="1:5" ht="12.5">
      <c r="A255" s="42" t="str">
        <f ca="1">IFERROR(__xludf.DUMMYFUNCTION("""COMPUTED_VALUE"""),"Ace Q. Jaros")</f>
        <v>Ace Q. Jaros</v>
      </c>
      <c r="B255" s="42" t="str">
        <f ca="1">IFERROR(__xludf.DUMMYFUNCTION("""COMPUTED_VALUE"""),"M")</f>
        <v>M</v>
      </c>
      <c r="C255" s="42" t="str">
        <f ca="1">IFERROR(__xludf.DUMMYFUNCTION("""COMPUTED_VALUE"""),"Tubay")</f>
        <v>Tubay</v>
      </c>
      <c r="D255" s="42"/>
      <c r="E255" s="42">
        <f ca="1">IFERROR(__xludf.DUMMYFUNCTION("""COMPUTED_VALUE"""),9518413605)</f>
        <v>9518413605</v>
      </c>
    </row>
    <row r="256" spans="1:5" ht="12.5">
      <c r="A256" s="42" t="str">
        <f ca="1">IFERROR(__xludf.DUMMYFUNCTION("""COMPUTED_VALUE"""),"Sharmine L. Constantino")</f>
        <v>Sharmine L. Constantino</v>
      </c>
      <c r="B256" s="42" t="str">
        <f ca="1">IFERROR(__xludf.DUMMYFUNCTION("""COMPUTED_VALUE"""),"F")</f>
        <v>F</v>
      </c>
      <c r="C256" s="42" t="str">
        <f ca="1">IFERROR(__xludf.DUMMYFUNCTION("""COMPUTED_VALUE"""),"Kitcharao")</f>
        <v>Kitcharao</v>
      </c>
      <c r="D256" s="42"/>
      <c r="E256" s="42">
        <f ca="1">IFERROR(__xludf.DUMMYFUNCTION("""COMPUTED_VALUE"""),9703628323)</f>
        <v>9703628323</v>
      </c>
    </row>
    <row r="257" spans="1:5" ht="12.5">
      <c r="A257" s="42" t="str">
        <f ca="1">IFERROR(__xludf.DUMMYFUNCTION("""COMPUTED_VALUE"""),"Nina Bianca Mercado")</f>
        <v>Nina Bianca Mercado</v>
      </c>
      <c r="B257" s="42" t="str">
        <f ca="1">IFERROR(__xludf.DUMMYFUNCTION("""COMPUTED_VALUE"""),"F")</f>
        <v>F</v>
      </c>
      <c r="C257" s="42" t="str">
        <f ca="1">IFERROR(__xludf.DUMMYFUNCTION("""COMPUTED_VALUE"""),"Butuan")</f>
        <v>Butuan</v>
      </c>
      <c r="D257" s="42"/>
      <c r="E257" s="42">
        <f ca="1">IFERROR(__xludf.DUMMYFUNCTION("""COMPUTED_VALUE"""),9669034115)</f>
        <v>9669034115</v>
      </c>
    </row>
    <row r="258" spans="1:5" ht="12.5">
      <c r="A258" s="42" t="str">
        <f ca="1">IFERROR(__xludf.DUMMYFUNCTION("""COMPUTED_VALUE"""),"Alrhem Jay O. Matias")</f>
        <v>Alrhem Jay O. Matias</v>
      </c>
      <c r="B258" s="42" t="str">
        <f ca="1">IFERROR(__xludf.DUMMYFUNCTION("""COMPUTED_VALUE"""),"M")</f>
        <v>M</v>
      </c>
      <c r="C258" s="42" t="str">
        <f ca="1">IFERROR(__xludf.DUMMYFUNCTION("""COMPUTED_VALUE"""),"Butuan")</f>
        <v>Butuan</v>
      </c>
      <c r="D258" s="42"/>
      <c r="E258" s="42">
        <f ca="1">IFERROR(__xludf.DUMMYFUNCTION("""COMPUTED_VALUE"""),9172735990)</f>
        <v>9172735990</v>
      </c>
    </row>
    <row r="259" spans="1:5" ht="12.5">
      <c r="A259" s="42" t="str">
        <f ca="1">IFERROR(__xludf.DUMMYFUNCTION("""COMPUTED_VALUE"""),"Raiza Queen C. Cascas")</f>
        <v>Raiza Queen C. Cascas</v>
      </c>
      <c r="B259" s="42" t="str">
        <f ca="1">IFERROR(__xludf.DUMMYFUNCTION("""COMPUTED_VALUE"""),"F")</f>
        <v>F</v>
      </c>
      <c r="C259" s="42" t="str">
        <f ca="1">IFERROR(__xludf.DUMMYFUNCTION("""COMPUTED_VALUE"""),"Butuan")</f>
        <v>Butuan</v>
      </c>
      <c r="D259" s="42"/>
      <c r="E259" s="42">
        <f ca="1">IFERROR(__xludf.DUMMYFUNCTION("""COMPUTED_VALUE"""),9273896761)</f>
        <v>9273896761</v>
      </c>
    </row>
    <row r="260" spans="1:5" ht="12.5">
      <c r="A260" s="42" t="str">
        <f ca="1">IFERROR(__xludf.DUMMYFUNCTION("""COMPUTED_VALUE"""),"Maria Eloisa Albino")</f>
        <v>Maria Eloisa Albino</v>
      </c>
      <c r="B260" s="42" t="str">
        <f ca="1">IFERROR(__xludf.DUMMYFUNCTION("""COMPUTED_VALUE"""),"F")</f>
        <v>F</v>
      </c>
      <c r="C260" s="42" t="str">
        <f ca="1">IFERROR(__xludf.DUMMYFUNCTION("""COMPUTED_VALUE"""),"Butuan")</f>
        <v>Butuan</v>
      </c>
      <c r="D260" s="42"/>
      <c r="E260" s="42">
        <f ca="1">IFERROR(__xludf.DUMMYFUNCTION("""COMPUTED_VALUE"""),9531140564)</f>
        <v>9531140564</v>
      </c>
    </row>
    <row r="261" spans="1:5" ht="12.5">
      <c r="A261" s="42" t="str">
        <f ca="1">IFERROR(__xludf.DUMMYFUNCTION("""COMPUTED_VALUE"""),"Kale Angeline C. Caballes")</f>
        <v>Kale Angeline C. Caballes</v>
      </c>
      <c r="B261" s="42" t="str">
        <f ca="1">IFERROR(__xludf.DUMMYFUNCTION("""COMPUTED_VALUE"""),"F")</f>
        <v>F</v>
      </c>
      <c r="C261" s="42" t="str">
        <f ca="1">IFERROR(__xludf.DUMMYFUNCTION("""COMPUTED_VALUE"""),"Butuan")</f>
        <v>Butuan</v>
      </c>
      <c r="D261" s="42"/>
      <c r="E261" s="42">
        <f ca="1">IFERROR(__xludf.DUMMYFUNCTION("""COMPUTED_VALUE"""),9094794554)</f>
        <v>9094794554</v>
      </c>
    </row>
    <row r="262" spans="1:5" ht="12.5">
      <c r="A262" s="42" t="str">
        <f ca="1">IFERROR(__xludf.DUMMYFUNCTION("""COMPUTED_VALUE"""),"Deshery G. Maglasang")</f>
        <v>Deshery G. Maglasang</v>
      </c>
      <c r="B262" s="42" t="str">
        <f ca="1">IFERROR(__xludf.DUMMYFUNCTION("""COMPUTED_VALUE"""),"F")</f>
        <v>F</v>
      </c>
      <c r="C262" s="42" t="str">
        <f ca="1">IFERROR(__xludf.DUMMYFUNCTION("""COMPUTED_VALUE"""),"Butuan")</f>
        <v>Butuan</v>
      </c>
      <c r="D262" s="42"/>
      <c r="E262" s="42">
        <f ca="1">IFERROR(__xludf.DUMMYFUNCTION("""COMPUTED_VALUE"""),9911738792)</f>
        <v>9911738792</v>
      </c>
    </row>
    <row r="263" spans="1:5" ht="12.5">
      <c r="A263" s="42" t="str">
        <f ca="1">IFERROR(__xludf.DUMMYFUNCTION("""COMPUTED_VALUE"""),"Manilyn Gungob")</f>
        <v>Manilyn Gungob</v>
      </c>
      <c r="B263" s="42" t="str">
        <f ca="1">IFERROR(__xludf.DUMMYFUNCTION("""COMPUTED_VALUE"""),"F")</f>
        <v>F</v>
      </c>
      <c r="C263" s="42" t="str">
        <f ca="1">IFERROR(__xludf.DUMMYFUNCTION("""COMPUTED_VALUE"""),"Bayugan")</f>
        <v>Bayugan</v>
      </c>
      <c r="D263" s="42"/>
      <c r="E263" s="42">
        <f ca="1">IFERROR(__xludf.DUMMYFUNCTION("""COMPUTED_VALUE"""),9298045828)</f>
        <v>9298045828</v>
      </c>
    </row>
    <row r="264" spans="1:5" ht="12.5">
      <c r="A264" s="42" t="str">
        <f ca="1">IFERROR(__xludf.DUMMYFUNCTION("""COMPUTED_VALUE"""),"Gladys E. Jumuad")</f>
        <v>Gladys E. Jumuad</v>
      </c>
      <c r="B264" s="42" t="str">
        <f ca="1">IFERROR(__xludf.DUMMYFUNCTION("""COMPUTED_VALUE"""),"F")</f>
        <v>F</v>
      </c>
      <c r="C264" s="42" t="str">
        <f ca="1">IFERROR(__xludf.DUMMYFUNCTION("""COMPUTED_VALUE"""),"Butuan")</f>
        <v>Butuan</v>
      </c>
      <c r="D264" s="42"/>
      <c r="E264" s="42">
        <f ca="1">IFERROR(__xludf.DUMMYFUNCTION("""COMPUTED_VALUE"""),9306246248)</f>
        <v>9306246248</v>
      </c>
    </row>
    <row r="265" spans="1:5" ht="12.5">
      <c r="A265" s="42" t="str">
        <f ca="1">IFERROR(__xludf.DUMMYFUNCTION("""COMPUTED_VALUE"""),"Manelyn D. Herbolingo")</f>
        <v>Manelyn D. Herbolingo</v>
      </c>
      <c r="B265" s="42" t="str">
        <f ca="1">IFERROR(__xludf.DUMMYFUNCTION("""COMPUTED_VALUE"""),"F")</f>
        <v>F</v>
      </c>
      <c r="C265" s="42" t="str">
        <f ca="1">IFERROR(__xludf.DUMMYFUNCTION("""COMPUTED_VALUE"""),"Butuan")</f>
        <v>Butuan</v>
      </c>
      <c r="D265" s="42"/>
      <c r="E265" s="42">
        <f ca="1">IFERROR(__xludf.DUMMYFUNCTION("""COMPUTED_VALUE"""),9638328908)</f>
        <v>9638328908</v>
      </c>
    </row>
    <row r="266" spans="1:5" ht="12.5">
      <c r="A266" s="42" t="str">
        <f ca="1">IFERROR(__xludf.DUMMYFUNCTION("""COMPUTED_VALUE"""),"Jovie L. Alejandro")</f>
        <v>Jovie L. Alejandro</v>
      </c>
      <c r="B266" s="42" t="str">
        <f ca="1">IFERROR(__xludf.DUMMYFUNCTION("""COMPUTED_VALUE"""),"F")</f>
        <v>F</v>
      </c>
      <c r="C266" s="42" t="str">
        <f ca="1">IFERROR(__xludf.DUMMYFUNCTION("""COMPUTED_VALUE"""),"Butuan")</f>
        <v>Butuan</v>
      </c>
      <c r="D266" s="42"/>
      <c r="E266" s="42">
        <f ca="1">IFERROR(__xludf.DUMMYFUNCTION("""COMPUTED_VALUE"""),9351838535)</f>
        <v>9351838535</v>
      </c>
    </row>
    <row r="267" spans="1:5" ht="12.5">
      <c r="A267" s="42" t="str">
        <f ca="1">IFERROR(__xludf.DUMMYFUNCTION("""COMPUTED_VALUE"""),"Marites C. Lumindas")</f>
        <v>Marites C. Lumindas</v>
      </c>
      <c r="B267" s="42" t="str">
        <f ca="1">IFERROR(__xludf.DUMMYFUNCTION("""COMPUTED_VALUE"""),"F")</f>
        <v>F</v>
      </c>
      <c r="C267" s="42" t="str">
        <f ca="1">IFERROR(__xludf.DUMMYFUNCTION("""COMPUTED_VALUE"""),"Nasipit")</f>
        <v>Nasipit</v>
      </c>
      <c r="D267" s="42"/>
      <c r="E267" s="42">
        <f ca="1">IFERROR(__xludf.DUMMYFUNCTION("""COMPUTED_VALUE"""),9635902052)</f>
        <v>9635902052</v>
      </c>
    </row>
    <row r="268" spans="1:5" ht="12.5">
      <c r="A268" s="42" t="str">
        <f ca="1">IFERROR(__xludf.DUMMYFUNCTION("""COMPUTED_VALUE"""),"Lizando R. Laag")</f>
        <v>Lizando R. Laag</v>
      </c>
      <c r="B268" s="42" t="str">
        <f ca="1">IFERROR(__xludf.DUMMYFUNCTION("""COMPUTED_VALUE"""),"M")</f>
        <v>M</v>
      </c>
      <c r="C268" s="42" t="str">
        <f ca="1">IFERROR(__xludf.DUMMYFUNCTION("""COMPUTED_VALUE"""),"Butuan")</f>
        <v>Butuan</v>
      </c>
      <c r="D268" s="42"/>
      <c r="E268" s="42">
        <f ca="1">IFERROR(__xludf.DUMMYFUNCTION("""COMPUTED_VALUE"""),9670842643)</f>
        <v>9670842643</v>
      </c>
    </row>
    <row r="269" spans="1:5" ht="12.5">
      <c r="A269" s="42" t="str">
        <f ca="1">IFERROR(__xludf.DUMMYFUNCTION("""COMPUTED_VALUE"""),"Kenneth Jade B. Mejola")</f>
        <v>Kenneth Jade B. Mejola</v>
      </c>
      <c r="B269" s="42" t="str">
        <f ca="1">IFERROR(__xludf.DUMMYFUNCTION("""COMPUTED_VALUE"""),"M")</f>
        <v>M</v>
      </c>
      <c r="C269" s="42" t="str">
        <f ca="1">IFERROR(__xludf.DUMMYFUNCTION("""COMPUTED_VALUE"""),"RTR")</f>
        <v>RTR</v>
      </c>
      <c r="D269" s="42"/>
      <c r="E269" s="42">
        <f ca="1">IFERROR(__xludf.DUMMYFUNCTION("""COMPUTED_VALUE"""),9203230297)</f>
        <v>9203230297</v>
      </c>
    </row>
    <row r="270" spans="1:5" ht="12.5">
      <c r="A270" s="42" t="str">
        <f ca="1">IFERROR(__xludf.DUMMYFUNCTION("""COMPUTED_VALUE"""),"Michael Angelo A. Barbin")</f>
        <v>Michael Angelo A. Barbin</v>
      </c>
      <c r="B270" s="42" t="str">
        <f ca="1">IFERROR(__xludf.DUMMYFUNCTION("""COMPUTED_VALUE"""),"M")</f>
        <v>M</v>
      </c>
      <c r="C270" s="42" t="str">
        <f ca="1">IFERROR(__xludf.DUMMYFUNCTION("""COMPUTED_VALUE"""),"Gingoog")</f>
        <v>Gingoog</v>
      </c>
      <c r="D270" s="42"/>
      <c r="E270" s="42">
        <f ca="1">IFERROR(__xludf.DUMMYFUNCTION("""COMPUTED_VALUE"""),9932779655)</f>
        <v>9932779655</v>
      </c>
    </row>
    <row r="271" spans="1:5" ht="12.5">
      <c r="A271" s="42" t="str">
        <f ca="1">IFERROR(__xludf.DUMMYFUNCTION("""COMPUTED_VALUE"""),"Karen P. Amor")</f>
        <v>Karen P. Amor</v>
      </c>
      <c r="B271" s="42" t="str">
        <f ca="1">IFERROR(__xludf.DUMMYFUNCTION("""COMPUTED_VALUE"""),"F")</f>
        <v>F</v>
      </c>
      <c r="C271" s="42" t="str">
        <f ca="1">IFERROR(__xludf.DUMMYFUNCTION("""COMPUTED_VALUE"""),"Butuan")</f>
        <v>Butuan</v>
      </c>
      <c r="D271" s="42"/>
      <c r="E271" s="42">
        <f ca="1">IFERROR(__xludf.DUMMYFUNCTION("""COMPUTED_VALUE"""),9662658549)</f>
        <v>9662658549</v>
      </c>
    </row>
    <row r="272" spans="1:5" ht="12.5">
      <c r="A272" s="42" t="str">
        <f ca="1">IFERROR(__xludf.DUMMYFUNCTION("""COMPUTED_VALUE"""),"James Paul T. Cebuala")</f>
        <v>James Paul T. Cebuala</v>
      </c>
      <c r="B272" s="42" t="str">
        <f ca="1">IFERROR(__xludf.DUMMYFUNCTION("""COMPUTED_VALUE"""),"M")</f>
        <v>M</v>
      </c>
      <c r="C272" s="42" t="str">
        <f ca="1">IFERROR(__xludf.DUMMYFUNCTION("""COMPUTED_VALUE"""),"Butuan")</f>
        <v>Butuan</v>
      </c>
      <c r="D272" s="42"/>
      <c r="E272" s="42">
        <f ca="1">IFERROR(__xludf.DUMMYFUNCTION("""COMPUTED_VALUE"""),9918609846)</f>
        <v>9918609846</v>
      </c>
    </row>
    <row r="273" spans="1:5" ht="12.5">
      <c r="A273" s="42" t="str">
        <f ca="1">IFERROR(__xludf.DUMMYFUNCTION("""COMPUTED_VALUE"""),"Ariel Cutay")</f>
        <v>Ariel Cutay</v>
      </c>
      <c r="B273" s="42" t="str">
        <f ca="1">IFERROR(__xludf.DUMMYFUNCTION("""COMPUTED_VALUE"""),"M")</f>
        <v>M</v>
      </c>
      <c r="C273" s="42" t="str">
        <f ca="1">IFERROR(__xludf.DUMMYFUNCTION("""COMPUTED_VALUE"""),"Butuan")</f>
        <v>Butuan</v>
      </c>
      <c r="D273" s="42"/>
      <c r="E273" s="42">
        <f ca="1">IFERROR(__xludf.DUMMYFUNCTION("""COMPUTED_VALUE"""),9926125336)</f>
        <v>9926125336</v>
      </c>
    </row>
    <row r="274" spans="1:5" ht="12.5">
      <c r="A274" s="42" t="str">
        <f ca="1">IFERROR(__xludf.DUMMYFUNCTION("""COMPUTED_VALUE"""),"Christian Dave Tabaranes")</f>
        <v>Christian Dave Tabaranes</v>
      </c>
      <c r="B274" s="42" t="str">
        <f ca="1">IFERROR(__xludf.DUMMYFUNCTION("""COMPUTED_VALUE"""),"M")</f>
        <v>M</v>
      </c>
      <c r="C274" s="42" t="str">
        <f ca="1">IFERROR(__xludf.DUMMYFUNCTION("""COMPUTED_VALUE"""),"RTR")</f>
        <v>RTR</v>
      </c>
      <c r="D274" s="42"/>
      <c r="E274" s="42">
        <f ca="1">IFERROR(__xludf.DUMMYFUNCTION("""COMPUTED_VALUE"""),9309373447)</f>
        <v>9309373447</v>
      </c>
    </row>
    <row r="275" spans="1:5" ht="12.5">
      <c r="A275" s="42" t="str">
        <f ca="1">IFERROR(__xludf.DUMMYFUNCTION("""COMPUTED_VALUE"""),"Ayay M. Pasaylo")</f>
        <v>Ayay M. Pasaylo</v>
      </c>
      <c r="B275" s="42" t="str">
        <f ca="1">IFERROR(__xludf.DUMMYFUNCTION("""COMPUTED_VALUE"""),"M")</f>
        <v>M</v>
      </c>
      <c r="C275" s="42" t="str">
        <f ca="1">IFERROR(__xludf.DUMMYFUNCTION("""COMPUTED_VALUE"""),"Carmen")</f>
        <v>Carmen</v>
      </c>
      <c r="D275" s="42"/>
      <c r="E275" s="42">
        <f ca="1">IFERROR(__xludf.DUMMYFUNCTION("""COMPUTED_VALUE"""),9516823880)</f>
        <v>9516823880</v>
      </c>
    </row>
    <row r="276" spans="1:5" ht="12.5">
      <c r="A276" s="42" t="str">
        <f ca="1">IFERROR(__xludf.DUMMYFUNCTION("""COMPUTED_VALUE"""),"Lemuel C. Malibago")</f>
        <v>Lemuel C. Malibago</v>
      </c>
      <c r="B276" s="42" t="str">
        <f ca="1">IFERROR(__xludf.DUMMYFUNCTION("""COMPUTED_VALUE"""),"M")</f>
        <v>M</v>
      </c>
      <c r="C276" s="42" t="str">
        <f ca="1">IFERROR(__xludf.DUMMYFUNCTION("""COMPUTED_VALUE"""),"Butuan")</f>
        <v>Butuan</v>
      </c>
      <c r="D276" s="42"/>
      <c r="E276" s="42">
        <f ca="1">IFERROR(__xludf.DUMMYFUNCTION("""COMPUTED_VALUE"""),9272306046)</f>
        <v>9272306046</v>
      </c>
    </row>
    <row r="277" spans="1:5" ht="12.5">
      <c r="A277" s="42" t="str">
        <f ca="1">IFERROR(__xludf.DUMMYFUNCTION("""COMPUTED_VALUE"""),"Brayn Dayl E. Languez")</f>
        <v>Brayn Dayl E. Languez</v>
      </c>
      <c r="B277" s="42" t="str">
        <f ca="1">IFERROR(__xludf.DUMMYFUNCTION("""COMPUTED_VALUE"""),"M")</f>
        <v>M</v>
      </c>
      <c r="C277" s="42" t="str">
        <f ca="1">IFERROR(__xludf.DUMMYFUNCTION("""COMPUTED_VALUE"""),"Butuan")</f>
        <v>Butuan</v>
      </c>
      <c r="D277" s="42"/>
      <c r="E277" s="42">
        <f ca="1">IFERROR(__xludf.DUMMYFUNCTION("""COMPUTED_VALUE"""),9948810199)</f>
        <v>9948810199</v>
      </c>
    </row>
    <row r="278" spans="1:5" ht="12.5">
      <c r="A278" s="42" t="str">
        <f ca="1">IFERROR(__xludf.DUMMYFUNCTION("""COMPUTED_VALUE"""),"Kaye Aiga F. Yañez")</f>
        <v>Kaye Aiga F. Yañez</v>
      </c>
      <c r="B278" s="42" t="str">
        <f ca="1">IFERROR(__xludf.DUMMYFUNCTION("""COMPUTED_VALUE"""),"F")</f>
        <v>F</v>
      </c>
      <c r="C278" s="42" t="str">
        <f ca="1">IFERROR(__xludf.DUMMYFUNCTION("""COMPUTED_VALUE"""),"Butuan")</f>
        <v>Butuan</v>
      </c>
      <c r="D278" s="42"/>
      <c r="E278" s="42">
        <f ca="1">IFERROR(__xludf.DUMMYFUNCTION("""COMPUTED_VALUE"""),9912365735)</f>
        <v>9912365735</v>
      </c>
    </row>
    <row r="279" spans="1:5" ht="12.5">
      <c r="A279" s="42" t="str">
        <f ca="1">IFERROR(__xludf.DUMMYFUNCTION("""COMPUTED_VALUE"""),"Vina Reyjean T. Calimbo")</f>
        <v>Vina Reyjean T. Calimbo</v>
      </c>
      <c r="B279" s="42" t="str">
        <f ca="1">IFERROR(__xludf.DUMMYFUNCTION("""COMPUTED_VALUE"""),"F")</f>
        <v>F</v>
      </c>
      <c r="C279" s="42" t="str">
        <f ca="1">IFERROR(__xludf.DUMMYFUNCTION("""COMPUTED_VALUE"""),"Butuan")</f>
        <v>Butuan</v>
      </c>
      <c r="D279" s="42"/>
      <c r="E279" s="42">
        <f ca="1">IFERROR(__xludf.DUMMYFUNCTION("""COMPUTED_VALUE"""),9851744240)</f>
        <v>9851744240</v>
      </c>
    </row>
    <row r="280" spans="1:5" ht="12.5">
      <c r="A280" s="42" t="str">
        <f ca="1">IFERROR(__xludf.DUMMYFUNCTION("""COMPUTED_VALUE"""),"Arwel Jhon Chavez")</f>
        <v>Arwel Jhon Chavez</v>
      </c>
      <c r="B280" s="42" t="str">
        <f ca="1">IFERROR(__xludf.DUMMYFUNCTION("""COMPUTED_VALUE"""),"M")</f>
        <v>M</v>
      </c>
      <c r="C280" s="42" t="str">
        <f ca="1">IFERROR(__xludf.DUMMYFUNCTION("""COMPUTED_VALUE"""),"Buenavista")</f>
        <v>Buenavista</v>
      </c>
      <c r="D280" s="42"/>
      <c r="E280" s="42">
        <f ca="1">IFERROR(__xludf.DUMMYFUNCTION("""COMPUTED_VALUE"""),9925025480)</f>
        <v>9925025480</v>
      </c>
    </row>
    <row r="281" spans="1:5" ht="12.5">
      <c r="A281" s="42" t="str">
        <f ca="1">IFERROR(__xludf.DUMMYFUNCTION("""COMPUTED_VALUE"""),"Christian Coral")</f>
        <v>Christian Coral</v>
      </c>
      <c r="B281" s="42" t="str">
        <f ca="1">IFERROR(__xludf.DUMMYFUNCTION("""COMPUTED_VALUE"""),"M")</f>
        <v>M</v>
      </c>
      <c r="C281" s="42" t="str">
        <f ca="1">IFERROR(__xludf.DUMMYFUNCTION("""COMPUTED_VALUE"""),"Butuan")</f>
        <v>Butuan</v>
      </c>
      <c r="D281" s="42"/>
      <c r="E281" s="42">
        <f ca="1">IFERROR(__xludf.DUMMYFUNCTION("""COMPUTED_VALUE"""),9518737140)</f>
        <v>9518737140</v>
      </c>
    </row>
    <row r="282" spans="1:5" ht="12.5">
      <c r="A282" s="42" t="str">
        <f ca="1">IFERROR(__xludf.DUMMYFUNCTION("""COMPUTED_VALUE"""),"Lendon Glenn E. Caballero")</f>
        <v>Lendon Glenn E. Caballero</v>
      </c>
      <c r="B282" s="42" t="str">
        <f ca="1">IFERROR(__xludf.DUMMYFUNCTION("""COMPUTED_VALUE"""),"M")</f>
        <v>M</v>
      </c>
      <c r="C282" s="42" t="str">
        <f ca="1">IFERROR(__xludf.DUMMYFUNCTION("""COMPUTED_VALUE"""),"Nasipit")</f>
        <v>Nasipit</v>
      </c>
      <c r="D282" s="42"/>
      <c r="E282" s="42">
        <f ca="1">IFERROR(__xludf.DUMMYFUNCTION("""COMPUTED_VALUE"""),9500766678)</f>
        <v>9500766678</v>
      </c>
    </row>
    <row r="283" spans="1:5" ht="12.5">
      <c r="A283" s="42" t="str">
        <f ca="1">IFERROR(__xludf.DUMMYFUNCTION("""COMPUTED_VALUE"""),"Jhomar U. Bongato")</f>
        <v>Jhomar U. Bongato</v>
      </c>
      <c r="B283" s="42" t="str">
        <f ca="1">IFERROR(__xludf.DUMMYFUNCTION("""COMPUTED_VALUE"""),"M")</f>
        <v>M</v>
      </c>
      <c r="C283" s="42" t="str">
        <f ca="1">IFERROR(__xludf.DUMMYFUNCTION("""COMPUTED_VALUE"""),"Butuan")</f>
        <v>Butuan</v>
      </c>
      <c r="D283" s="42"/>
      <c r="E283" s="42">
        <f ca="1">IFERROR(__xludf.DUMMYFUNCTION("""COMPUTED_VALUE"""),9207717561)</f>
        <v>9207717561</v>
      </c>
    </row>
    <row r="284" spans="1:5" ht="12.5">
      <c r="A284" s="42" t="str">
        <f ca="1">IFERROR(__xludf.DUMMYFUNCTION("""COMPUTED_VALUE"""),"Joana Mae Paragoso")</f>
        <v>Joana Mae Paragoso</v>
      </c>
      <c r="B284" s="42" t="str">
        <f ca="1">IFERROR(__xludf.DUMMYFUNCTION("""COMPUTED_VALUE"""),"F")</f>
        <v>F</v>
      </c>
      <c r="C284" s="42" t="str">
        <f ca="1">IFERROR(__xludf.DUMMYFUNCTION("""COMPUTED_VALUE"""),"Butuan")</f>
        <v>Butuan</v>
      </c>
      <c r="D284" s="42"/>
      <c r="E284" s="42">
        <f ca="1">IFERROR(__xludf.DUMMYFUNCTION("""COMPUTED_VALUE"""),9664113219)</f>
        <v>9664113219</v>
      </c>
    </row>
    <row r="285" spans="1:5" ht="12.5">
      <c r="A285" s="42" t="str">
        <f ca="1">IFERROR(__xludf.DUMMYFUNCTION("""COMPUTED_VALUE"""),"Eric Asistido")</f>
        <v>Eric Asistido</v>
      </c>
      <c r="B285" s="42" t="str">
        <f ca="1">IFERROR(__xludf.DUMMYFUNCTION("""COMPUTED_VALUE"""),"M")</f>
        <v>M</v>
      </c>
      <c r="C285" s="42" t="str">
        <f ca="1">IFERROR(__xludf.DUMMYFUNCTION("""COMPUTED_VALUE"""),"Nasipit")</f>
        <v>Nasipit</v>
      </c>
      <c r="D285" s="42"/>
      <c r="E285" s="42">
        <f ca="1">IFERROR(__xludf.DUMMYFUNCTION("""COMPUTED_VALUE"""),9278365825)</f>
        <v>9278365825</v>
      </c>
    </row>
    <row r="286" spans="1:5" ht="12.5">
      <c r="A286" s="42" t="str">
        <f ca="1">IFERROR(__xludf.DUMMYFUNCTION("""COMPUTED_VALUE"""),"Kenn Kenn Perez")</f>
        <v>Kenn Kenn Perez</v>
      </c>
      <c r="B286" s="42" t="str">
        <f ca="1">IFERROR(__xludf.DUMMYFUNCTION("""COMPUTED_VALUE"""),"M")</f>
        <v>M</v>
      </c>
      <c r="C286" s="42" t="str">
        <f ca="1">IFERROR(__xludf.DUMMYFUNCTION("""COMPUTED_VALUE"""),"Butuan")</f>
        <v>Butuan</v>
      </c>
      <c r="D286" s="42"/>
      <c r="E286" s="42">
        <f ca="1">IFERROR(__xludf.DUMMYFUNCTION("""COMPUTED_VALUE"""),9105168075)</f>
        <v>9105168075</v>
      </c>
    </row>
  </sheetData>
  <hyperlinks>
    <hyperlink ref="G3" location="'Main Dashboard'!A1" display="Click for the Main Dashboard" xr:uid="{00000000-0004-0000-0100-000000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workbookViewId="0"/>
  </sheetViews>
  <sheetFormatPr defaultColWidth="12.6328125" defaultRowHeight="15.75" customHeight="1"/>
  <cols>
    <col min="1" max="1" width="26.08984375" customWidth="1"/>
    <col min="2" max="2" width="6.90625" customWidth="1"/>
    <col min="3" max="3" width="26.7265625" customWidth="1"/>
    <col min="4" max="4" width="23.08984375" customWidth="1"/>
    <col min="5" max="5" width="14.7265625" customWidth="1"/>
    <col min="8" max="8" width="31" customWidth="1"/>
  </cols>
  <sheetData>
    <row r="1" spans="1:11" ht="27.75" customHeight="1">
      <c r="A1" s="44" t="s">
        <v>28</v>
      </c>
      <c r="B1" s="45" t="s">
        <v>29</v>
      </c>
      <c r="C1" s="44" t="s">
        <v>30</v>
      </c>
      <c r="D1" s="44" t="s">
        <v>31</v>
      </c>
      <c r="E1" s="46" t="s">
        <v>33</v>
      </c>
    </row>
    <row r="2" spans="1:11" ht="15.5">
      <c r="A2" s="42" t="s">
        <v>34</v>
      </c>
      <c r="B2" s="47" t="s">
        <v>35</v>
      </c>
      <c r="C2" s="42" t="s">
        <v>36</v>
      </c>
      <c r="D2" s="42" t="s">
        <v>37</v>
      </c>
      <c r="E2" s="48">
        <v>9657466015</v>
      </c>
      <c r="H2" s="43" t="s">
        <v>32</v>
      </c>
      <c r="J2" s="52" t="s">
        <v>38</v>
      </c>
      <c r="K2" s="51"/>
    </row>
    <row r="3" spans="1:11" ht="12.5">
      <c r="A3" s="42" t="s">
        <v>39</v>
      </c>
      <c r="B3" s="47" t="s">
        <v>40</v>
      </c>
      <c r="C3" s="42" t="s">
        <v>41</v>
      </c>
      <c r="D3" s="42" t="s">
        <v>42</v>
      </c>
      <c r="E3" s="48">
        <v>9276659101</v>
      </c>
      <c r="J3" s="49" t="s">
        <v>40</v>
      </c>
      <c r="K3" s="49">
        <f>COUNTIF(B2:B1000, "F")</f>
        <v>99</v>
      </c>
    </row>
    <row r="4" spans="1:11" ht="12.5">
      <c r="A4" s="42" t="s">
        <v>43</v>
      </c>
      <c r="B4" s="47" t="s">
        <v>40</v>
      </c>
      <c r="C4" s="42" t="s">
        <v>44</v>
      </c>
      <c r="D4" s="42" t="s">
        <v>45</v>
      </c>
      <c r="E4" s="48">
        <v>9567043306</v>
      </c>
      <c r="J4" s="49" t="s">
        <v>35</v>
      </c>
      <c r="K4" s="49">
        <f>COUNTIF(B3:B1000, "M")</f>
        <v>109</v>
      </c>
    </row>
    <row r="5" spans="1:11" ht="12.5">
      <c r="A5" s="42" t="s">
        <v>46</v>
      </c>
      <c r="B5" s="47" t="s">
        <v>40</v>
      </c>
      <c r="C5" s="42" t="s">
        <v>47</v>
      </c>
      <c r="D5" s="42" t="s">
        <v>48</v>
      </c>
      <c r="E5" s="48">
        <v>9511987466</v>
      </c>
      <c r="J5" s="49" t="s">
        <v>49</v>
      </c>
      <c r="K5" s="49">
        <f>COUNTA(A2:A1000)</f>
        <v>208</v>
      </c>
    </row>
    <row r="6" spans="1:11" ht="12.5">
      <c r="A6" s="42" t="s">
        <v>50</v>
      </c>
      <c r="B6" s="47" t="s">
        <v>40</v>
      </c>
      <c r="C6" s="42" t="s">
        <v>51</v>
      </c>
      <c r="D6" s="42" t="s">
        <v>52</v>
      </c>
      <c r="E6" s="48">
        <v>9126595772</v>
      </c>
    </row>
    <row r="7" spans="1:11" ht="15.5">
      <c r="A7" s="42" t="s">
        <v>53</v>
      </c>
      <c r="B7" s="47" t="s">
        <v>40</v>
      </c>
      <c r="C7" s="42" t="s">
        <v>54</v>
      </c>
      <c r="D7" s="42" t="s">
        <v>55</v>
      </c>
      <c r="E7" s="48">
        <v>9453453465</v>
      </c>
      <c r="H7" s="43" t="s">
        <v>56</v>
      </c>
    </row>
    <row r="8" spans="1:11" ht="12.5">
      <c r="A8" s="42" t="s">
        <v>57</v>
      </c>
      <c r="B8" s="47" t="s">
        <v>35</v>
      </c>
      <c r="C8" s="42" t="s">
        <v>58</v>
      </c>
      <c r="D8" s="42" t="s">
        <v>59</v>
      </c>
      <c r="E8" s="48">
        <v>9510539298</v>
      </c>
    </row>
    <row r="9" spans="1:11" ht="12.5">
      <c r="A9" s="42" t="s">
        <v>60</v>
      </c>
      <c r="B9" s="47" t="s">
        <v>40</v>
      </c>
      <c r="C9" s="42" t="s">
        <v>61</v>
      </c>
      <c r="E9" s="48">
        <v>9636374544</v>
      </c>
    </row>
    <row r="10" spans="1:11" ht="12.5">
      <c r="A10" s="42" t="s">
        <v>62</v>
      </c>
      <c r="B10" s="47" t="s">
        <v>35</v>
      </c>
      <c r="C10" s="42" t="s">
        <v>61</v>
      </c>
      <c r="D10" s="42" t="s">
        <v>48</v>
      </c>
      <c r="E10" s="48">
        <v>9912273442</v>
      </c>
    </row>
    <row r="11" spans="1:11" ht="12.5">
      <c r="A11" s="42" t="s">
        <v>63</v>
      </c>
      <c r="B11" s="47" t="s">
        <v>40</v>
      </c>
      <c r="C11" s="42" t="s">
        <v>64</v>
      </c>
      <c r="D11" s="42" t="s">
        <v>37</v>
      </c>
      <c r="E11" s="48">
        <v>9301141738</v>
      </c>
    </row>
    <row r="12" spans="1:11" ht="12.5">
      <c r="A12" s="42" t="s">
        <v>65</v>
      </c>
      <c r="B12" s="47" t="s">
        <v>35</v>
      </c>
      <c r="C12" s="42" t="s">
        <v>36</v>
      </c>
      <c r="D12" s="42" t="s">
        <v>66</v>
      </c>
      <c r="E12" s="48">
        <v>9093750358</v>
      </c>
    </row>
    <row r="13" spans="1:11" ht="12.5">
      <c r="A13" s="42" t="s">
        <v>67</v>
      </c>
      <c r="B13" s="47" t="s">
        <v>40</v>
      </c>
      <c r="C13" s="42" t="s">
        <v>68</v>
      </c>
      <c r="D13" s="42" t="s">
        <v>37</v>
      </c>
      <c r="E13" s="48">
        <v>9671325951</v>
      </c>
    </row>
    <row r="14" spans="1:11" ht="12.5">
      <c r="A14" s="42" t="s">
        <v>69</v>
      </c>
      <c r="B14" s="47" t="s">
        <v>40</v>
      </c>
      <c r="C14" s="42" t="s">
        <v>70</v>
      </c>
      <c r="E14" s="48"/>
    </row>
    <row r="15" spans="1:11" ht="12.5">
      <c r="A15" s="42" t="s">
        <v>71</v>
      </c>
      <c r="B15" s="47" t="s">
        <v>35</v>
      </c>
      <c r="C15" s="42" t="s">
        <v>72</v>
      </c>
      <c r="E15" s="48">
        <v>9975088133</v>
      </c>
    </row>
    <row r="16" spans="1:11" ht="12.5">
      <c r="A16" s="42" t="s">
        <v>73</v>
      </c>
      <c r="B16" s="47" t="s">
        <v>40</v>
      </c>
      <c r="C16" s="42" t="s">
        <v>74</v>
      </c>
      <c r="D16" s="42" t="s">
        <v>55</v>
      </c>
      <c r="E16" s="48">
        <v>9121551889</v>
      </c>
    </row>
    <row r="17" spans="1:9" ht="12.5">
      <c r="A17" s="42" t="s">
        <v>75</v>
      </c>
      <c r="B17" s="47" t="s">
        <v>40</v>
      </c>
      <c r="C17" s="42" t="s">
        <v>76</v>
      </c>
      <c r="D17" s="42" t="s">
        <v>77</v>
      </c>
      <c r="E17" s="48">
        <v>9776614164</v>
      </c>
    </row>
    <row r="18" spans="1:9" ht="12.5">
      <c r="A18" s="42" t="s">
        <v>78</v>
      </c>
      <c r="B18" s="47" t="s">
        <v>35</v>
      </c>
      <c r="C18" s="42" t="s">
        <v>47</v>
      </c>
      <c r="D18" s="42" t="s">
        <v>79</v>
      </c>
      <c r="E18" s="48">
        <v>9949930985</v>
      </c>
      <c r="I18" s="42"/>
    </row>
    <row r="19" spans="1:9" ht="12.5">
      <c r="A19" s="42" t="s">
        <v>80</v>
      </c>
      <c r="B19" s="47" t="s">
        <v>35</v>
      </c>
      <c r="C19" s="42" t="s">
        <v>81</v>
      </c>
      <c r="D19" s="42" t="s">
        <v>82</v>
      </c>
      <c r="E19" s="48">
        <v>9075690727</v>
      </c>
    </row>
    <row r="20" spans="1:9" ht="12.5">
      <c r="A20" s="42" t="s">
        <v>83</v>
      </c>
      <c r="B20" s="47" t="s">
        <v>35</v>
      </c>
      <c r="C20" s="42" t="s">
        <v>84</v>
      </c>
      <c r="D20" s="42" t="s">
        <v>85</v>
      </c>
      <c r="E20" s="48">
        <v>9995047780</v>
      </c>
    </row>
    <row r="21" spans="1:9" ht="12.5">
      <c r="A21" s="42" t="s">
        <v>86</v>
      </c>
      <c r="B21" s="47" t="s">
        <v>40</v>
      </c>
      <c r="C21" s="42" t="s">
        <v>47</v>
      </c>
      <c r="E21" s="48">
        <v>9093695611</v>
      </c>
    </row>
    <row r="22" spans="1:9" ht="12.5">
      <c r="A22" s="42" t="s">
        <v>87</v>
      </c>
      <c r="B22" s="47" t="s">
        <v>35</v>
      </c>
      <c r="C22" s="42" t="s">
        <v>88</v>
      </c>
      <c r="D22" s="42" t="s">
        <v>79</v>
      </c>
      <c r="E22" s="48">
        <v>9272716685</v>
      </c>
    </row>
    <row r="23" spans="1:9" ht="12.5">
      <c r="A23" s="42" t="s">
        <v>89</v>
      </c>
      <c r="B23" s="47" t="s">
        <v>40</v>
      </c>
      <c r="C23" s="42" t="s">
        <v>90</v>
      </c>
      <c r="D23" s="42" t="s">
        <v>91</v>
      </c>
      <c r="E23" s="48">
        <v>9704442306</v>
      </c>
    </row>
    <row r="24" spans="1:9" ht="12.5">
      <c r="A24" s="42" t="s">
        <v>92</v>
      </c>
      <c r="B24" s="47" t="s">
        <v>35</v>
      </c>
      <c r="C24" s="42" t="s">
        <v>88</v>
      </c>
      <c r="D24" s="42" t="s">
        <v>91</v>
      </c>
      <c r="E24" s="48">
        <v>9562375446</v>
      </c>
    </row>
    <row r="25" spans="1:9" ht="12.5">
      <c r="A25" s="42" t="s">
        <v>93</v>
      </c>
      <c r="B25" s="47" t="s">
        <v>35</v>
      </c>
      <c r="C25" s="42" t="s">
        <v>94</v>
      </c>
      <c r="D25" s="42" t="s">
        <v>95</v>
      </c>
      <c r="E25" s="48">
        <v>9811537703</v>
      </c>
    </row>
    <row r="26" spans="1:9" ht="12.5">
      <c r="A26" s="42" t="s">
        <v>96</v>
      </c>
      <c r="B26" s="47" t="s">
        <v>40</v>
      </c>
      <c r="C26" s="42" t="s">
        <v>94</v>
      </c>
      <c r="E26" s="48"/>
    </row>
    <row r="27" spans="1:9" ht="12.5">
      <c r="A27" s="42" t="s">
        <v>97</v>
      </c>
      <c r="B27" s="47" t="s">
        <v>40</v>
      </c>
      <c r="C27" s="42" t="s">
        <v>98</v>
      </c>
      <c r="D27" s="42" t="s">
        <v>99</v>
      </c>
      <c r="E27" s="48">
        <v>9273796128</v>
      </c>
    </row>
    <row r="28" spans="1:9" ht="12.5">
      <c r="A28" s="42" t="s">
        <v>100</v>
      </c>
      <c r="B28" s="47" t="s">
        <v>40</v>
      </c>
      <c r="C28" s="42" t="s">
        <v>98</v>
      </c>
      <c r="E28" s="48">
        <v>9535728448</v>
      </c>
    </row>
    <row r="29" spans="1:9" ht="12.5">
      <c r="A29" s="42" t="s">
        <v>101</v>
      </c>
      <c r="B29" s="47" t="s">
        <v>40</v>
      </c>
      <c r="C29" s="42" t="s">
        <v>102</v>
      </c>
      <c r="E29" s="48">
        <v>9125608033</v>
      </c>
    </row>
    <row r="30" spans="1:9" ht="12.5">
      <c r="A30" s="42" t="s">
        <v>103</v>
      </c>
      <c r="B30" s="47" t="s">
        <v>40</v>
      </c>
      <c r="C30" s="42" t="s">
        <v>90</v>
      </c>
      <c r="E30" s="48">
        <v>9776617811</v>
      </c>
    </row>
    <row r="31" spans="1:9" ht="12.5">
      <c r="A31" s="42" t="s">
        <v>104</v>
      </c>
      <c r="B31" s="47" t="s">
        <v>35</v>
      </c>
      <c r="C31" s="42" t="s">
        <v>105</v>
      </c>
      <c r="E31" s="48">
        <v>9537090957</v>
      </c>
    </row>
    <row r="32" spans="1:9" ht="12.5">
      <c r="A32" s="42" t="s">
        <v>106</v>
      </c>
      <c r="B32" s="47" t="s">
        <v>35</v>
      </c>
      <c r="C32" s="42" t="s">
        <v>107</v>
      </c>
      <c r="E32" s="48">
        <v>9121555514</v>
      </c>
    </row>
    <row r="33" spans="1:5" ht="12.5">
      <c r="A33" s="42" t="s">
        <v>108</v>
      </c>
      <c r="B33" s="47" t="s">
        <v>40</v>
      </c>
      <c r="C33" s="42" t="s">
        <v>109</v>
      </c>
      <c r="E33" s="48">
        <v>9855173966</v>
      </c>
    </row>
    <row r="34" spans="1:5" ht="12.5">
      <c r="A34" s="42" t="s">
        <v>110</v>
      </c>
      <c r="B34" s="47" t="s">
        <v>40</v>
      </c>
      <c r="C34" s="42" t="s">
        <v>109</v>
      </c>
      <c r="E34" s="48">
        <v>9909898245</v>
      </c>
    </row>
    <row r="35" spans="1:5" ht="12.5">
      <c r="A35" s="42" t="s">
        <v>111</v>
      </c>
      <c r="B35" s="47" t="s">
        <v>35</v>
      </c>
      <c r="C35" s="42" t="s">
        <v>112</v>
      </c>
      <c r="E35" s="48">
        <v>9655741275</v>
      </c>
    </row>
    <row r="36" spans="1:5" ht="12.5">
      <c r="A36" s="42" t="s">
        <v>113</v>
      </c>
      <c r="B36" s="47" t="s">
        <v>35</v>
      </c>
      <c r="C36" s="42" t="s">
        <v>84</v>
      </c>
      <c r="E36" s="48">
        <v>9641494185</v>
      </c>
    </row>
    <row r="37" spans="1:5" ht="12.5">
      <c r="A37" s="42" t="s">
        <v>114</v>
      </c>
      <c r="B37" s="47" t="s">
        <v>40</v>
      </c>
      <c r="C37" s="42" t="s">
        <v>98</v>
      </c>
      <c r="E37" s="48">
        <v>9156723663</v>
      </c>
    </row>
    <row r="38" spans="1:5" ht="12.5">
      <c r="A38" s="42" t="s">
        <v>115</v>
      </c>
      <c r="B38" s="47" t="s">
        <v>40</v>
      </c>
      <c r="C38" s="42" t="s">
        <v>116</v>
      </c>
      <c r="E38" s="48">
        <v>9484611770</v>
      </c>
    </row>
    <row r="39" spans="1:5" ht="12.5">
      <c r="A39" s="42" t="s">
        <v>117</v>
      </c>
      <c r="B39" s="47" t="s">
        <v>35</v>
      </c>
      <c r="C39" s="42" t="s">
        <v>112</v>
      </c>
      <c r="E39" s="48">
        <v>9460421437</v>
      </c>
    </row>
    <row r="40" spans="1:5" ht="12.5">
      <c r="A40" s="42" t="s">
        <v>118</v>
      </c>
      <c r="B40" s="47" t="s">
        <v>40</v>
      </c>
      <c r="C40" s="42" t="s">
        <v>119</v>
      </c>
      <c r="E40" s="48">
        <v>9949861830</v>
      </c>
    </row>
    <row r="41" spans="1:5" ht="12.5">
      <c r="A41" s="42" t="s">
        <v>120</v>
      </c>
      <c r="B41" s="47" t="s">
        <v>35</v>
      </c>
      <c r="C41" s="42" t="s">
        <v>121</v>
      </c>
      <c r="E41" s="48">
        <v>9362797830</v>
      </c>
    </row>
    <row r="42" spans="1:5" ht="12.5">
      <c r="A42" s="42" t="s">
        <v>122</v>
      </c>
      <c r="B42" s="47" t="s">
        <v>40</v>
      </c>
      <c r="C42" s="42" t="s">
        <v>123</v>
      </c>
      <c r="E42" s="48">
        <v>9851003257</v>
      </c>
    </row>
    <row r="43" spans="1:5" ht="12.5">
      <c r="A43" s="42" t="s">
        <v>124</v>
      </c>
      <c r="B43" s="47" t="s">
        <v>40</v>
      </c>
      <c r="C43" s="42" t="s">
        <v>112</v>
      </c>
      <c r="E43" s="48">
        <v>9565573386</v>
      </c>
    </row>
    <row r="44" spans="1:5" ht="12.5">
      <c r="A44" s="42" t="s">
        <v>125</v>
      </c>
      <c r="B44" s="47" t="s">
        <v>35</v>
      </c>
      <c r="C44" s="42" t="s">
        <v>126</v>
      </c>
      <c r="E44" s="48">
        <v>9388933973</v>
      </c>
    </row>
    <row r="45" spans="1:5" ht="12.5">
      <c r="A45" s="42" t="s">
        <v>127</v>
      </c>
      <c r="B45" s="47" t="s">
        <v>40</v>
      </c>
      <c r="C45" s="42" t="s">
        <v>128</v>
      </c>
      <c r="E45" s="48">
        <v>9533920211</v>
      </c>
    </row>
    <row r="46" spans="1:5" ht="12.5">
      <c r="A46" s="42" t="s">
        <v>129</v>
      </c>
      <c r="B46" s="47" t="s">
        <v>35</v>
      </c>
      <c r="C46" s="42" t="s">
        <v>109</v>
      </c>
      <c r="E46" s="48">
        <v>9629118726</v>
      </c>
    </row>
    <row r="47" spans="1:5" ht="12.5">
      <c r="A47" s="42" t="s">
        <v>130</v>
      </c>
      <c r="B47" s="47" t="s">
        <v>35</v>
      </c>
      <c r="C47" s="42" t="s">
        <v>47</v>
      </c>
      <c r="E47" s="48">
        <v>9917952363</v>
      </c>
    </row>
    <row r="48" spans="1:5" ht="12.5">
      <c r="A48" s="42" t="s">
        <v>131</v>
      </c>
      <c r="B48" s="47" t="s">
        <v>40</v>
      </c>
      <c r="C48" s="42" t="s">
        <v>132</v>
      </c>
      <c r="E48" s="48">
        <v>9750664666</v>
      </c>
    </row>
    <row r="49" spans="1:5" ht="12.5">
      <c r="A49" s="42" t="s">
        <v>133</v>
      </c>
      <c r="B49" s="47" t="s">
        <v>35</v>
      </c>
      <c r="C49" s="42" t="s">
        <v>134</v>
      </c>
      <c r="E49" s="48">
        <v>9203919894</v>
      </c>
    </row>
    <row r="50" spans="1:5" ht="12.5">
      <c r="A50" s="42" t="s">
        <v>135</v>
      </c>
      <c r="B50" s="47" t="s">
        <v>35</v>
      </c>
      <c r="C50" s="42" t="s">
        <v>47</v>
      </c>
      <c r="E50" s="48">
        <v>9639758339</v>
      </c>
    </row>
    <row r="51" spans="1:5" ht="12.5">
      <c r="A51" s="42" t="s">
        <v>136</v>
      </c>
      <c r="B51" s="47" t="s">
        <v>40</v>
      </c>
      <c r="C51" s="42" t="s">
        <v>137</v>
      </c>
      <c r="E51" s="48">
        <v>9514840855</v>
      </c>
    </row>
    <row r="52" spans="1:5" ht="12.5">
      <c r="A52" s="42" t="s">
        <v>138</v>
      </c>
      <c r="B52" s="47" t="s">
        <v>40</v>
      </c>
      <c r="C52" s="42" t="s">
        <v>109</v>
      </c>
      <c r="E52" s="48">
        <v>9633405917</v>
      </c>
    </row>
    <row r="53" spans="1:5" ht="12.5">
      <c r="A53" s="42" t="s">
        <v>139</v>
      </c>
      <c r="B53" s="47" t="s">
        <v>35</v>
      </c>
      <c r="C53" s="42" t="s">
        <v>140</v>
      </c>
      <c r="E53" s="48">
        <v>9922147182</v>
      </c>
    </row>
    <row r="54" spans="1:5" ht="12.5">
      <c r="A54" s="42" t="s">
        <v>141</v>
      </c>
      <c r="B54" s="47" t="s">
        <v>40</v>
      </c>
      <c r="C54" s="42" t="s">
        <v>109</v>
      </c>
      <c r="E54" s="48">
        <v>9128509089</v>
      </c>
    </row>
    <row r="55" spans="1:5" ht="12.5">
      <c r="A55" s="42" t="s">
        <v>142</v>
      </c>
      <c r="B55" s="47" t="s">
        <v>35</v>
      </c>
      <c r="C55" s="42" t="s">
        <v>68</v>
      </c>
      <c r="E55" s="48">
        <v>9463671699</v>
      </c>
    </row>
    <row r="56" spans="1:5" ht="12.5">
      <c r="A56" s="42" t="s">
        <v>143</v>
      </c>
      <c r="B56" s="47" t="s">
        <v>35</v>
      </c>
      <c r="C56" s="42" t="s">
        <v>144</v>
      </c>
      <c r="E56" s="48">
        <v>9487784655</v>
      </c>
    </row>
    <row r="57" spans="1:5" ht="12.5">
      <c r="A57" s="42" t="s">
        <v>145</v>
      </c>
      <c r="B57" s="47" t="s">
        <v>40</v>
      </c>
      <c r="C57" s="42" t="s">
        <v>146</v>
      </c>
      <c r="E57" s="48">
        <v>9923029177</v>
      </c>
    </row>
    <row r="58" spans="1:5" ht="12.5">
      <c r="A58" s="42" t="s">
        <v>147</v>
      </c>
      <c r="B58" s="47" t="s">
        <v>40</v>
      </c>
      <c r="C58" s="42" t="s">
        <v>148</v>
      </c>
      <c r="E58" s="48">
        <v>9150043112</v>
      </c>
    </row>
    <row r="59" spans="1:5" ht="12.5">
      <c r="A59" s="42" t="s">
        <v>149</v>
      </c>
      <c r="B59" s="47" t="s">
        <v>40</v>
      </c>
      <c r="C59" s="42" t="s">
        <v>150</v>
      </c>
      <c r="E59" s="48">
        <v>9464874032</v>
      </c>
    </row>
    <row r="60" spans="1:5" ht="12.5">
      <c r="A60" s="42" t="s">
        <v>151</v>
      </c>
      <c r="B60" s="47" t="s">
        <v>35</v>
      </c>
      <c r="C60" s="42" t="s">
        <v>36</v>
      </c>
      <c r="E60" s="48">
        <v>9925014751</v>
      </c>
    </row>
    <row r="61" spans="1:5" ht="12.5">
      <c r="A61" s="42" t="s">
        <v>152</v>
      </c>
      <c r="B61" s="47" t="s">
        <v>35</v>
      </c>
      <c r="C61" s="42" t="s">
        <v>36</v>
      </c>
      <c r="E61" s="48">
        <v>9058879745</v>
      </c>
    </row>
    <row r="62" spans="1:5" ht="12.5">
      <c r="A62" s="42" t="s">
        <v>153</v>
      </c>
      <c r="B62" s="47" t="s">
        <v>35</v>
      </c>
      <c r="C62" s="42" t="s">
        <v>36</v>
      </c>
      <c r="E62" s="48">
        <v>9078684618</v>
      </c>
    </row>
    <row r="63" spans="1:5" ht="12.5">
      <c r="A63" s="42" t="s">
        <v>154</v>
      </c>
      <c r="B63" s="47" t="s">
        <v>40</v>
      </c>
      <c r="C63" s="42" t="s">
        <v>155</v>
      </c>
      <c r="E63" s="48">
        <v>9816981251</v>
      </c>
    </row>
    <row r="64" spans="1:5" ht="12.5">
      <c r="A64" s="42" t="s">
        <v>156</v>
      </c>
      <c r="B64" s="47" t="s">
        <v>35</v>
      </c>
      <c r="C64" s="42" t="s">
        <v>157</v>
      </c>
      <c r="E64" s="48">
        <v>9635757909</v>
      </c>
    </row>
    <row r="65" spans="1:5" ht="12.5">
      <c r="A65" s="42" t="s">
        <v>158</v>
      </c>
      <c r="B65" s="47" t="s">
        <v>40</v>
      </c>
      <c r="C65" s="42" t="s">
        <v>159</v>
      </c>
      <c r="E65" s="48">
        <v>9319955054</v>
      </c>
    </row>
    <row r="66" spans="1:5" ht="12.5">
      <c r="A66" s="42" t="s">
        <v>160</v>
      </c>
      <c r="B66" s="47" t="s">
        <v>40</v>
      </c>
      <c r="C66" s="42" t="s">
        <v>161</v>
      </c>
      <c r="E66" s="48">
        <v>9487109644</v>
      </c>
    </row>
    <row r="67" spans="1:5" ht="12.5">
      <c r="A67" s="42" t="s">
        <v>162</v>
      </c>
      <c r="B67" s="47" t="s">
        <v>40</v>
      </c>
      <c r="C67" s="42" t="s">
        <v>163</v>
      </c>
      <c r="E67" s="48">
        <v>970020121</v>
      </c>
    </row>
    <row r="68" spans="1:5" ht="12.5">
      <c r="A68" s="42" t="s">
        <v>164</v>
      </c>
      <c r="B68" s="47" t="s">
        <v>40</v>
      </c>
      <c r="C68" s="42" t="s">
        <v>165</v>
      </c>
      <c r="E68" s="48">
        <v>9925437924</v>
      </c>
    </row>
    <row r="69" spans="1:5" ht="12.5">
      <c r="A69" s="42" t="s">
        <v>166</v>
      </c>
      <c r="B69" s="47" t="s">
        <v>40</v>
      </c>
      <c r="C69" s="42" t="s">
        <v>167</v>
      </c>
      <c r="E69" s="48">
        <v>9635934057</v>
      </c>
    </row>
    <row r="70" spans="1:5" ht="12.5">
      <c r="A70" s="42" t="s">
        <v>168</v>
      </c>
      <c r="B70" s="47" t="s">
        <v>40</v>
      </c>
      <c r="C70" s="42" t="s">
        <v>167</v>
      </c>
      <c r="E70" s="48">
        <v>9267976384</v>
      </c>
    </row>
    <row r="71" spans="1:5" ht="12.5">
      <c r="A71" s="42" t="s">
        <v>169</v>
      </c>
      <c r="B71" s="47" t="s">
        <v>40</v>
      </c>
      <c r="C71" s="42" t="s">
        <v>170</v>
      </c>
      <c r="E71" s="48">
        <v>9816053695</v>
      </c>
    </row>
    <row r="72" spans="1:5" ht="12.5">
      <c r="A72" s="42" t="s">
        <v>171</v>
      </c>
      <c r="B72" s="47" t="s">
        <v>40</v>
      </c>
      <c r="C72" s="42" t="s">
        <v>172</v>
      </c>
      <c r="E72" s="48">
        <v>9105869014</v>
      </c>
    </row>
    <row r="73" spans="1:5" ht="12.5">
      <c r="A73" s="42" t="s">
        <v>173</v>
      </c>
      <c r="B73" s="47" t="s">
        <v>40</v>
      </c>
      <c r="C73" s="42" t="s">
        <v>174</v>
      </c>
      <c r="E73" s="48">
        <v>9551286153</v>
      </c>
    </row>
    <row r="74" spans="1:5" ht="12.5">
      <c r="A74" s="42" t="s">
        <v>175</v>
      </c>
      <c r="B74" s="47" t="s">
        <v>40</v>
      </c>
      <c r="C74" s="42" t="s">
        <v>176</v>
      </c>
      <c r="E74" s="48">
        <v>9700423053</v>
      </c>
    </row>
    <row r="75" spans="1:5" ht="12.5">
      <c r="A75" s="42" t="s">
        <v>177</v>
      </c>
      <c r="B75" s="47" t="s">
        <v>35</v>
      </c>
      <c r="C75" s="42" t="s">
        <v>178</v>
      </c>
      <c r="E75" s="48">
        <v>9072590250</v>
      </c>
    </row>
    <row r="76" spans="1:5" ht="12.5">
      <c r="A76" s="42" t="s">
        <v>179</v>
      </c>
      <c r="B76" s="47" t="s">
        <v>40</v>
      </c>
      <c r="C76" s="42" t="s">
        <v>116</v>
      </c>
      <c r="E76" s="48">
        <v>9507117891</v>
      </c>
    </row>
    <row r="77" spans="1:5" ht="12.5">
      <c r="A77" s="42" t="s">
        <v>180</v>
      </c>
      <c r="B77" s="47" t="s">
        <v>40</v>
      </c>
      <c r="C77" s="42" t="s">
        <v>116</v>
      </c>
      <c r="E77" s="48">
        <v>9095797706</v>
      </c>
    </row>
    <row r="78" spans="1:5" ht="12.5">
      <c r="A78" s="42" t="s">
        <v>181</v>
      </c>
      <c r="B78" s="47" t="s">
        <v>40</v>
      </c>
      <c r="C78" s="42" t="s">
        <v>64</v>
      </c>
      <c r="E78" s="48">
        <v>995880869</v>
      </c>
    </row>
    <row r="79" spans="1:5" ht="12.5">
      <c r="A79" s="42" t="s">
        <v>182</v>
      </c>
      <c r="B79" s="47" t="s">
        <v>35</v>
      </c>
      <c r="C79" s="42" t="s">
        <v>61</v>
      </c>
      <c r="E79" s="48">
        <v>9085499465</v>
      </c>
    </row>
    <row r="80" spans="1:5" ht="12.5">
      <c r="A80" s="42" t="s">
        <v>183</v>
      </c>
      <c r="B80" s="47" t="s">
        <v>35</v>
      </c>
      <c r="C80" s="42" t="s">
        <v>36</v>
      </c>
      <c r="D80" s="42" t="s">
        <v>184</v>
      </c>
      <c r="E80" s="48">
        <v>9155109056</v>
      </c>
    </row>
    <row r="81" spans="1:5" ht="12.5">
      <c r="A81" s="42" t="s">
        <v>185</v>
      </c>
      <c r="B81" s="47" t="s">
        <v>35</v>
      </c>
      <c r="C81" s="42" t="s">
        <v>36</v>
      </c>
      <c r="E81" s="48">
        <v>9467561595</v>
      </c>
    </row>
    <row r="82" spans="1:5" ht="12.5">
      <c r="A82" s="42" t="s">
        <v>186</v>
      </c>
      <c r="B82" s="47" t="s">
        <v>35</v>
      </c>
      <c r="C82" s="42" t="s">
        <v>36</v>
      </c>
      <c r="E82" s="48">
        <v>9634806787</v>
      </c>
    </row>
    <row r="83" spans="1:5" ht="12.5">
      <c r="A83" s="42" t="s">
        <v>187</v>
      </c>
      <c r="B83" s="47" t="s">
        <v>40</v>
      </c>
      <c r="C83" s="42" t="s">
        <v>36</v>
      </c>
      <c r="E83" s="48">
        <v>9109604379</v>
      </c>
    </row>
    <row r="84" spans="1:5" ht="12.5">
      <c r="A84" s="42" t="s">
        <v>188</v>
      </c>
      <c r="B84" s="47" t="s">
        <v>35</v>
      </c>
      <c r="C84" s="42" t="s">
        <v>61</v>
      </c>
      <c r="D84" s="42" t="s">
        <v>189</v>
      </c>
      <c r="E84" s="48">
        <v>9641005716</v>
      </c>
    </row>
    <row r="85" spans="1:5" ht="12.5">
      <c r="A85" s="42" t="s">
        <v>190</v>
      </c>
      <c r="B85" s="47" t="s">
        <v>35</v>
      </c>
      <c r="C85" s="42" t="s">
        <v>68</v>
      </c>
      <c r="D85" s="42" t="s">
        <v>191</v>
      </c>
      <c r="E85" s="48">
        <v>9705451919</v>
      </c>
    </row>
    <row r="86" spans="1:5" ht="12.5">
      <c r="A86" s="42" t="s">
        <v>192</v>
      </c>
      <c r="B86" s="47" t="s">
        <v>40</v>
      </c>
      <c r="C86" s="42" t="s">
        <v>47</v>
      </c>
      <c r="E86" s="48">
        <v>9203230297</v>
      </c>
    </row>
    <row r="87" spans="1:5" ht="12.5">
      <c r="A87" s="42" t="s">
        <v>193</v>
      </c>
      <c r="B87" s="47" t="s">
        <v>40</v>
      </c>
      <c r="C87" s="42" t="s">
        <v>194</v>
      </c>
      <c r="E87" s="48">
        <v>9351091657</v>
      </c>
    </row>
    <row r="88" spans="1:5" ht="12.5">
      <c r="A88" s="42" t="s">
        <v>195</v>
      </c>
      <c r="B88" s="47" t="s">
        <v>35</v>
      </c>
      <c r="C88" s="42" t="s">
        <v>196</v>
      </c>
      <c r="D88" s="42" t="s">
        <v>189</v>
      </c>
      <c r="E88" s="48">
        <v>9288888357</v>
      </c>
    </row>
    <row r="89" spans="1:5" ht="12.5">
      <c r="A89" s="42" t="s">
        <v>197</v>
      </c>
      <c r="B89" s="47" t="s">
        <v>35</v>
      </c>
      <c r="C89" s="42" t="s">
        <v>137</v>
      </c>
      <c r="E89" s="48">
        <v>9368906686</v>
      </c>
    </row>
    <row r="90" spans="1:5" ht="12.5">
      <c r="A90" s="42" t="s">
        <v>198</v>
      </c>
      <c r="B90" s="47" t="s">
        <v>35</v>
      </c>
      <c r="C90" s="42" t="s">
        <v>196</v>
      </c>
      <c r="E90" s="48">
        <v>9385422175</v>
      </c>
    </row>
    <row r="91" spans="1:5" ht="12.5">
      <c r="A91" s="42" t="s">
        <v>199</v>
      </c>
      <c r="B91" s="47" t="s">
        <v>40</v>
      </c>
      <c r="C91" s="42" t="s">
        <v>196</v>
      </c>
      <c r="E91" s="48">
        <v>9511725056</v>
      </c>
    </row>
    <row r="92" spans="1:5" ht="12.5">
      <c r="A92" s="42" t="s">
        <v>200</v>
      </c>
      <c r="B92" s="47" t="s">
        <v>35</v>
      </c>
      <c r="C92" s="42" t="s">
        <v>201</v>
      </c>
      <c r="E92" s="48">
        <v>9633770792</v>
      </c>
    </row>
    <row r="93" spans="1:5" ht="12.5">
      <c r="A93" s="42" t="s">
        <v>202</v>
      </c>
      <c r="B93" s="47" t="s">
        <v>35</v>
      </c>
      <c r="C93" s="42" t="s">
        <v>203</v>
      </c>
      <c r="E93" s="48">
        <v>9109799102</v>
      </c>
    </row>
    <row r="94" spans="1:5" ht="12.5">
      <c r="A94" s="42" t="s">
        <v>204</v>
      </c>
      <c r="B94" s="47" t="s">
        <v>35</v>
      </c>
      <c r="C94" s="42" t="s">
        <v>205</v>
      </c>
      <c r="D94" s="42" t="s">
        <v>189</v>
      </c>
      <c r="E94" s="48">
        <v>9481506779</v>
      </c>
    </row>
    <row r="95" spans="1:5" ht="12.5">
      <c r="A95" s="42" t="s">
        <v>206</v>
      </c>
      <c r="B95" s="47" t="s">
        <v>35</v>
      </c>
      <c r="C95" s="42" t="s">
        <v>205</v>
      </c>
      <c r="E95" s="48">
        <v>9096347963</v>
      </c>
    </row>
    <row r="96" spans="1:5" ht="12.5">
      <c r="A96" s="42" t="s">
        <v>207</v>
      </c>
      <c r="B96" s="47" t="s">
        <v>35</v>
      </c>
      <c r="C96" s="42" t="s">
        <v>44</v>
      </c>
      <c r="E96" s="48">
        <v>9635809696</v>
      </c>
    </row>
    <row r="97" spans="1:5" ht="12.5">
      <c r="A97" s="42" t="s">
        <v>208</v>
      </c>
      <c r="B97" s="47" t="s">
        <v>35</v>
      </c>
      <c r="C97" s="42" t="s">
        <v>123</v>
      </c>
      <c r="D97" s="42" t="s">
        <v>189</v>
      </c>
      <c r="E97" s="48">
        <v>9461055451</v>
      </c>
    </row>
    <row r="98" spans="1:5" ht="12.5">
      <c r="A98" s="42" t="s">
        <v>209</v>
      </c>
      <c r="B98" s="47" t="s">
        <v>35</v>
      </c>
      <c r="C98" s="42" t="s">
        <v>44</v>
      </c>
      <c r="E98" s="48">
        <v>9078332156</v>
      </c>
    </row>
    <row r="99" spans="1:5" ht="12.5">
      <c r="A99" s="42" t="s">
        <v>210</v>
      </c>
      <c r="B99" s="47" t="s">
        <v>35</v>
      </c>
      <c r="C99" s="42" t="s">
        <v>116</v>
      </c>
      <c r="D99" s="42" t="s">
        <v>191</v>
      </c>
      <c r="E99" s="48">
        <v>9633431428</v>
      </c>
    </row>
    <row r="100" spans="1:5" ht="12.5">
      <c r="A100" s="42" t="s">
        <v>211</v>
      </c>
      <c r="B100" s="47" t="s">
        <v>35</v>
      </c>
      <c r="C100" s="42" t="s">
        <v>84</v>
      </c>
      <c r="E100" s="48">
        <v>9628954909</v>
      </c>
    </row>
    <row r="101" spans="1:5" ht="12.5">
      <c r="A101" s="42" t="s">
        <v>212</v>
      </c>
      <c r="B101" s="47" t="s">
        <v>40</v>
      </c>
      <c r="C101" s="42" t="s">
        <v>213</v>
      </c>
      <c r="E101" s="48">
        <v>9530981869</v>
      </c>
    </row>
    <row r="102" spans="1:5" ht="12.5">
      <c r="A102" s="42" t="s">
        <v>214</v>
      </c>
      <c r="B102" s="47" t="s">
        <v>40</v>
      </c>
      <c r="C102" s="42" t="s">
        <v>215</v>
      </c>
      <c r="E102" s="48">
        <v>9700583817</v>
      </c>
    </row>
    <row r="103" spans="1:5" ht="12.5">
      <c r="A103" s="42" t="s">
        <v>216</v>
      </c>
      <c r="B103" s="47" t="s">
        <v>35</v>
      </c>
      <c r="C103" s="42" t="s">
        <v>74</v>
      </c>
      <c r="D103" s="42" t="s">
        <v>217</v>
      </c>
      <c r="E103" s="48">
        <v>9639697234</v>
      </c>
    </row>
    <row r="104" spans="1:5" ht="12.5">
      <c r="A104" s="42" t="s">
        <v>218</v>
      </c>
      <c r="B104" s="47" t="s">
        <v>35</v>
      </c>
      <c r="C104" s="42" t="s">
        <v>36</v>
      </c>
      <c r="D104" s="42" t="s">
        <v>191</v>
      </c>
      <c r="E104" s="48">
        <v>9517761418</v>
      </c>
    </row>
    <row r="105" spans="1:5" ht="12.5">
      <c r="A105" s="42" t="s">
        <v>219</v>
      </c>
      <c r="B105" s="47" t="s">
        <v>35</v>
      </c>
      <c r="C105" s="42" t="s">
        <v>140</v>
      </c>
      <c r="D105" s="42" t="s">
        <v>220</v>
      </c>
      <c r="E105" s="48">
        <v>9665490085</v>
      </c>
    </row>
    <row r="106" spans="1:5" ht="12.5">
      <c r="A106" s="42" t="s">
        <v>221</v>
      </c>
      <c r="B106" s="47" t="s">
        <v>35</v>
      </c>
      <c r="C106" s="42" t="s">
        <v>36</v>
      </c>
      <c r="D106" s="42" t="s">
        <v>191</v>
      </c>
      <c r="E106" s="48">
        <v>9101542257</v>
      </c>
    </row>
    <row r="107" spans="1:5" ht="12.5">
      <c r="A107" s="42" t="s">
        <v>222</v>
      </c>
      <c r="B107" s="47" t="s">
        <v>40</v>
      </c>
      <c r="E107" s="48">
        <v>9102311238</v>
      </c>
    </row>
    <row r="108" spans="1:5" ht="12.5">
      <c r="A108" s="42" t="s">
        <v>223</v>
      </c>
      <c r="B108" s="47" t="s">
        <v>40</v>
      </c>
      <c r="D108" s="42" t="s">
        <v>224</v>
      </c>
      <c r="E108" s="48">
        <v>9501681589</v>
      </c>
    </row>
    <row r="109" spans="1:5" ht="12.5">
      <c r="A109" s="42" t="s">
        <v>225</v>
      </c>
      <c r="B109" s="47" t="s">
        <v>40</v>
      </c>
      <c r="D109" s="42" t="s">
        <v>226</v>
      </c>
      <c r="E109" s="48">
        <v>9700931278</v>
      </c>
    </row>
    <row r="110" spans="1:5" ht="12.5">
      <c r="A110" s="42" t="s">
        <v>227</v>
      </c>
      <c r="B110" s="47" t="s">
        <v>40</v>
      </c>
      <c r="E110" s="48">
        <v>9946099010</v>
      </c>
    </row>
    <row r="111" spans="1:5" ht="12.5">
      <c r="A111" s="42" t="s">
        <v>228</v>
      </c>
      <c r="B111" s="47" t="s">
        <v>40</v>
      </c>
      <c r="E111" s="48">
        <v>9109380969</v>
      </c>
    </row>
    <row r="112" spans="1:5" ht="12.5">
      <c r="A112" s="42" t="s">
        <v>229</v>
      </c>
      <c r="B112" s="47" t="s">
        <v>40</v>
      </c>
      <c r="E112" s="48">
        <v>9514899896</v>
      </c>
    </row>
    <row r="113" spans="1:5" ht="12.5">
      <c r="A113" s="42" t="s">
        <v>230</v>
      </c>
      <c r="B113" s="47" t="s">
        <v>35</v>
      </c>
      <c r="E113" s="48">
        <v>9500029832</v>
      </c>
    </row>
    <row r="114" spans="1:5" ht="12.5">
      <c r="A114" s="42" t="s">
        <v>231</v>
      </c>
      <c r="B114" s="47" t="s">
        <v>35</v>
      </c>
      <c r="E114" s="48">
        <v>9939131481</v>
      </c>
    </row>
    <row r="115" spans="1:5" ht="12.5">
      <c r="A115" s="42" t="s">
        <v>232</v>
      </c>
      <c r="B115" s="47" t="s">
        <v>40</v>
      </c>
      <c r="D115" s="42" t="s">
        <v>233</v>
      </c>
      <c r="E115" s="48">
        <v>9691329128</v>
      </c>
    </row>
    <row r="116" spans="1:5" ht="12.5">
      <c r="A116" s="42" t="s">
        <v>234</v>
      </c>
      <c r="B116" s="47" t="s">
        <v>40</v>
      </c>
      <c r="D116" s="42" t="s">
        <v>233</v>
      </c>
      <c r="E116" s="48">
        <v>9022792917</v>
      </c>
    </row>
    <row r="117" spans="1:5" ht="12.5">
      <c r="A117" s="42" t="s">
        <v>235</v>
      </c>
      <c r="B117" s="47" t="s">
        <v>35</v>
      </c>
      <c r="E117" s="48">
        <v>9051139314</v>
      </c>
    </row>
    <row r="118" spans="1:5" ht="12.5">
      <c r="A118" s="42" t="s">
        <v>236</v>
      </c>
      <c r="B118" s="47" t="s">
        <v>40</v>
      </c>
      <c r="D118" s="42" t="s">
        <v>237</v>
      </c>
      <c r="E118" s="48">
        <v>99505967201</v>
      </c>
    </row>
    <row r="119" spans="1:5" ht="12.5">
      <c r="A119" s="42" t="s">
        <v>238</v>
      </c>
      <c r="B119" s="47" t="s">
        <v>40</v>
      </c>
      <c r="D119" s="42" t="s">
        <v>233</v>
      </c>
      <c r="E119" s="48">
        <v>9973992447</v>
      </c>
    </row>
    <row r="120" spans="1:5" ht="12.5">
      <c r="A120" s="42" t="s">
        <v>239</v>
      </c>
      <c r="B120" s="47" t="s">
        <v>35</v>
      </c>
      <c r="E120" s="48">
        <v>9946463929</v>
      </c>
    </row>
    <row r="121" spans="1:5" ht="12.5">
      <c r="A121" s="42" t="s">
        <v>240</v>
      </c>
      <c r="B121" s="47" t="s">
        <v>40</v>
      </c>
      <c r="D121" s="42" t="s">
        <v>241</v>
      </c>
      <c r="E121" s="48">
        <v>9484846609</v>
      </c>
    </row>
    <row r="122" spans="1:5" ht="12.5">
      <c r="A122" s="42" t="s">
        <v>242</v>
      </c>
      <c r="B122" s="47" t="s">
        <v>40</v>
      </c>
      <c r="E122" s="48">
        <v>9274051739</v>
      </c>
    </row>
    <row r="123" spans="1:5" ht="12.5">
      <c r="A123" s="42" t="s">
        <v>243</v>
      </c>
      <c r="B123" s="47" t="s">
        <v>35</v>
      </c>
      <c r="E123" s="48">
        <v>9932498438</v>
      </c>
    </row>
    <row r="124" spans="1:5" ht="12.5">
      <c r="A124" s="42" t="s">
        <v>244</v>
      </c>
      <c r="B124" s="47" t="s">
        <v>35</v>
      </c>
      <c r="E124" s="48">
        <v>9759633004</v>
      </c>
    </row>
    <row r="125" spans="1:5" ht="12.5">
      <c r="A125" s="42" t="s">
        <v>245</v>
      </c>
      <c r="B125" s="47" t="s">
        <v>40</v>
      </c>
      <c r="E125" s="48">
        <v>9709428710</v>
      </c>
    </row>
    <row r="126" spans="1:5" ht="12.5">
      <c r="A126" s="42" t="s">
        <v>246</v>
      </c>
      <c r="B126" s="47" t="s">
        <v>35</v>
      </c>
      <c r="E126" s="48">
        <v>9276206980</v>
      </c>
    </row>
    <row r="127" spans="1:5" ht="12.5">
      <c r="A127" s="42" t="s">
        <v>247</v>
      </c>
      <c r="B127" s="47" t="s">
        <v>40</v>
      </c>
      <c r="D127" s="42" t="s">
        <v>248</v>
      </c>
      <c r="E127" s="48">
        <v>9207377557</v>
      </c>
    </row>
    <row r="128" spans="1:5" ht="12.5">
      <c r="A128" s="42" t="s">
        <v>249</v>
      </c>
      <c r="B128" s="47" t="s">
        <v>35</v>
      </c>
      <c r="E128" s="48">
        <v>9455431169</v>
      </c>
    </row>
    <row r="129" spans="1:5" ht="12.5">
      <c r="A129" s="42" t="s">
        <v>250</v>
      </c>
      <c r="B129" s="47" t="s">
        <v>35</v>
      </c>
      <c r="E129" s="48">
        <v>9169982153</v>
      </c>
    </row>
    <row r="130" spans="1:5" ht="12.5">
      <c r="A130" s="42" t="s">
        <v>251</v>
      </c>
      <c r="B130" s="47" t="s">
        <v>35</v>
      </c>
      <c r="D130" s="42" t="s">
        <v>252</v>
      </c>
      <c r="E130" s="48">
        <v>9639464645</v>
      </c>
    </row>
    <row r="131" spans="1:5" ht="12.5">
      <c r="A131" s="42" t="s">
        <v>253</v>
      </c>
      <c r="B131" s="47" t="s">
        <v>35</v>
      </c>
      <c r="D131" s="42" t="s">
        <v>252</v>
      </c>
      <c r="E131" s="48">
        <v>9167607394</v>
      </c>
    </row>
    <row r="132" spans="1:5" ht="12.5">
      <c r="A132" s="42" t="s">
        <v>254</v>
      </c>
      <c r="B132" s="47" t="s">
        <v>40</v>
      </c>
      <c r="C132" s="42" t="s">
        <v>255</v>
      </c>
      <c r="E132" s="48">
        <v>9671272264</v>
      </c>
    </row>
    <row r="133" spans="1:5" ht="12.5">
      <c r="A133" s="42" t="s">
        <v>256</v>
      </c>
      <c r="B133" s="47" t="s">
        <v>40</v>
      </c>
      <c r="C133" s="42" t="s">
        <v>257</v>
      </c>
      <c r="E133" s="48">
        <v>9639577843</v>
      </c>
    </row>
    <row r="134" spans="1:5" ht="12.5">
      <c r="A134" s="42" t="s">
        <v>258</v>
      </c>
      <c r="B134" s="47" t="s">
        <v>40</v>
      </c>
      <c r="C134" s="42" t="s">
        <v>259</v>
      </c>
      <c r="E134" s="48">
        <v>9942771031</v>
      </c>
    </row>
    <row r="135" spans="1:5" ht="12.5">
      <c r="A135" s="42" t="s">
        <v>260</v>
      </c>
      <c r="B135" s="47" t="s">
        <v>40</v>
      </c>
      <c r="C135" s="42" t="s">
        <v>261</v>
      </c>
      <c r="E135" s="48">
        <v>9619541679</v>
      </c>
    </row>
    <row r="136" spans="1:5" ht="12.5">
      <c r="A136" s="42" t="s">
        <v>262</v>
      </c>
      <c r="B136" s="47" t="s">
        <v>40</v>
      </c>
      <c r="C136" s="42" t="s">
        <v>64</v>
      </c>
      <c r="E136" s="48">
        <v>9153349135</v>
      </c>
    </row>
    <row r="137" spans="1:5" ht="12.5">
      <c r="A137" s="42" t="s">
        <v>263</v>
      </c>
      <c r="B137" s="47" t="s">
        <v>40</v>
      </c>
      <c r="C137" s="42" t="s">
        <v>196</v>
      </c>
      <c r="E137" s="48">
        <v>9705451763</v>
      </c>
    </row>
    <row r="138" spans="1:5" ht="12.5">
      <c r="A138" s="42" t="s">
        <v>264</v>
      </c>
      <c r="B138" s="47" t="s">
        <v>40</v>
      </c>
      <c r="C138" s="42" t="s">
        <v>47</v>
      </c>
      <c r="E138" s="48">
        <v>9503985210</v>
      </c>
    </row>
    <row r="139" spans="1:5" ht="12.5">
      <c r="A139" s="42" t="s">
        <v>265</v>
      </c>
      <c r="B139" s="47" t="s">
        <v>35</v>
      </c>
      <c r="C139" s="42" t="s">
        <v>266</v>
      </c>
      <c r="E139" s="48">
        <v>9127050745</v>
      </c>
    </row>
    <row r="140" spans="1:5" ht="12.5">
      <c r="A140" s="42" t="s">
        <v>267</v>
      </c>
      <c r="B140" s="47" t="s">
        <v>35</v>
      </c>
      <c r="C140" s="42" t="s">
        <v>157</v>
      </c>
      <c r="E140" s="48">
        <v>9857824724</v>
      </c>
    </row>
    <row r="141" spans="1:5" ht="12.5">
      <c r="A141" s="42" t="s">
        <v>268</v>
      </c>
      <c r="B141" s="47" t="s">
        <v>40</v>
      </c>
      <c r="C141" s="42" t="s">
        <v>269</v>
      </c>
      <c r="E141" s="48">
        <v>9905415402</v>
      </c>
    </row>
    <row r="142" spans="1:5" ht="12.5">
      <c r="A142" s="42" t="s">
        <v>270</v>
      </c>
      <c r="B142" s="47" t="s">
        <v>40</v>
      </c>
      <c r="C142" s="42" t="s">
        <v>271</v>
      </c>
      <c r="E142" s="48">
        <v>9302291970</v>
      </c>
    </row>
    <row r="143" spans="1:5" ht="12.5">
      <c r="A143" s="42" t="s">
        <v>272</v>
      </c>
      <c r="B143" s="47" t="s">
        <v>35</v>
      </c>
      <c r="C143" s="42" t="s">
        <v>266</v>
      </c>
      <c r="E143" s="48">
        <v>9301671839</v>
      </c>
    </row>
    <row r="144" spans="1:5" ht="12.5">
      <c r="A144" s="42" t="s">
        <v>273</v>
      </c>
      <c r="B144" s="47" t="s">
        <v>35</v>
      </c>
      <c r="C144" s="42" t="s">
        <v>148</v>
      </c>
      <c r="E144" s="48">
        <v>9301277695</v>
      </c>
    </row>
    <row r="145" spans="1:5" ht="12.5">
      <c r="A145" s="42" t="s">
        <v>274</v>
      </c>
      <c r="B145" s="47" t="s">
        <v>35</v>
      </c>
      <c r="C145" s="42" t="s">
        <v>36</v>
      </c>
      <c r="E145" s="48">
        <v>9853110034</v>
      </c>
    </row>
    <row r="146" spans="1:5" ht="12.5">
      <c r="A146" s="42" t="s">
        <v>275</v>
      </c>
      <c r="B146" s="47" t="s">
        <v>35</v>
      </c>
      <c r="C146" s="42" t="s">
        <v>109</v>
      </c>
      <c r="E146" s="48">
        <v>9642995391</v>
      </c>
    </row>
    <row r="147" spans="1:5" ht="12.5">
      <c r="A147" s="42" t="s">
        <v>276</v>
      </c>
      <c r="B147" s="47" t="s">
        <v>40</v>
      </c>
      <c r="C147" s="42" t="s">
        <v>277</v>
      </c>
      <c r="E147" s="48">
        <v>930765752</v>
      </c>
    </row>
    <row r="148" spans="1:5" ht="12.5">
      <c r="A148" s="42" t="s">
        <v>278</v>
      </c>
      <c r="B148" s="47" t="s">
        <v>35</v>
      </c>
      <c r="C148" s="42" t="s">
        <v>279</v>
      </c>
      <c r="E148" s="48">
        <v>9637840504</v>
      </c>
    </row>
    <row r="149" spans="1:5" ht="12.5">
      <c r="A149" s="42" t="s">
        <v>280</v>
      </c>
      <c r="B149" s="47" t="s">
        <v>40</v>
      </c>
      <c r="C149" s="42" t="s">
        <v>47</v>
      </c>
      <c r="E149" s="48">
        <v>970029322</v>
      </c>
    </row>
    <row r="150" spans="1:5" ht="12.5">
      <c r="A150" s="42" t="s">
        <v>281</v>
      </c>
      <c r="B150" s="47" t="s">
        <v>35</v>
      </c>
      <c r="C150" s="42" t="s">
        <v>282</v>
      </c>
      <c r="E150" s="48">
        <v>9639553654</v>
      </c>
    </row>
    <row r="151" spans="1:5" ht="12.5">
      <c r="A151" s="42" t="s">
        <v>283</v>
      </c>
      <c r="B151" s="47" t="s">
        <v>40</v>
      </c>
      <c r="C151" s="42" t="s">
        <v>284</v>
      </c>
      <c r="E151" s="48">
        <v>9135011683</v>
      </c>
    </row>
    <row r="152" spans="1:5" ht="12.5">
      <c r="A152" s="42" t="s">
        <v>285</v>
      </c>
      <c r="B152" s="47" t="s">
        <v>40</v>
      </c>
      <c r="C152" s="42" t="s">
        <v>261</v>
      </c>
      <c r="E152" s="48">
        <v>9488576127</v>
      </c>
    </row>
    <row r="153" spans="1:5" ht="12.5">
      <c r="A153" s="42" t="s">
        <v>286</v>
      </c>
      <c r="B153" s="47" t="s">
        <v>40</v>
      </c>
      <c r="C153" s="42" t="s">
        <v>261</v>
      </c>
      <c r="E153" s="48">
        <v>9455438166</v>
      </c>
    </row>
    <row r="154" spans="1:5" ht="12.5">
      <c r="A154" s="42" t="s">
        <v>287</v>
      </c>
      <c r="B154" s="47" t="s">
        <v>35</v>
      </c>
      <c r="C154" s="42" t="s">
        <v>288</v>
      </c>
      <c r="E154" s="48">
        <v>9709219761</v>
      </c>
    </row>
    <row r="155" spans="1:5" ht="12.5">
      <c r="A155" s="42" t="s">
        <v>289</v>
      </c>
      <c r="B155" s="47" t="s">
        <v>35</v>
      </c>
      <c r="C155" s="42" t="s">
        <v>288</v>
      </c>
      <c r="E155" s="48">
        <v>9534351363</v>
      </c>
    </row>
    <row r="156" spans="1:5" ht="12.5">
      <c r="A156" s="42" t="s">
        <v>290</v>
      </c>
      <c r="B156" s="47" t="s">
        <v>35</v>
      </c>
      <c r="C156" s="42" t="s">
        <v>291</v>
      </c>
      <c r="E156" s="48">
        <v>9855748213</v>
      </c>
    </row>
    <row r="157" spans="1:5" ht="12.5">
      <c r="A157" s="42" t="s">
        <v>292</v>
      </c>
      <c r="B157" s="47" t="s">
        <v>35</v>
      </c>
      <c r="C157" s="42" t="s">
        <v>291</v>
      </c>
      <c r="E157" s="48">
        <v>9931979843</v>
      </c>
    </row>
    <row r="158" spans="1:5" ht="12.5">
      <c r="A158" s="42" t="s">
        <v>293</v>
      </c>
      <c r="B158" s="47" t="s">
        <v>35</v>
      </c>
      <c r="C158" s="42" t="s">
        <v>294</v>
      </c>
      <c r="D158" s="42" t="s">
        <v>295</v>
      </c>
      <c r="E158" s="48">
        <v>9092726699</v>
      </c>
    </row>
    <row r="159" spans="1:5" ht="12.5">
      <c r="A159" s="42" t="s">
        <v>296</v>
      </c>
      <c r="B159" s="47" t="s">
        <v>40</v>
      </c>
      <c r="C159" s="42" t="s">
        <v>297</v>
      </c>
      <c r="D159" s="42" t="s">
        <v>298</v>
      </c>
      <c r="E159" s="48">
        <v>9101246062</v>
      </c>
    </row>
    <row r="160" spans="1:5" ht="12.5">
      <c r="A160" s="42" t="s">
        <v>299</v>
      </c>
      <c r="B160" s="47" t="s">
        <v>35</v>
      </c>
      <c r="C160" s="42" t="s">
        <v>300</v>
      </c>
      <c r="D160" s="42" t="s">
        <v>298</v>
      </c>
      <c r="E160" s="48">
        <v>9516863142</v>
      </c>
    </row>
    <row r="161" spans="1:5" ht="12.5">
      <c r="A161" s="42" t="s">
        <v>301</v>
      </c>
      <c r="B161" s="47" t="s">
        <v>40</v>
      </c>
      <c r="C161" s="42" t="s">
        <v>302</v>
      </c>
      <c r="D161" s="42" t="s">
        <v>298</v>
      </c>
      <c r="E161" s="48">
        <v>9064625779</v>
      </c>
    </row>
    <row r="162" spans="1:5" ht="12.5">
      <c r="A162" s="42" t="s">
        <v>303</v>
      </c>
      <c r="B162" s="47" t="s">
        <v>40</v>
      </c>
      <c r="C162" s="42" t="s">
        <v>304</v>
      </c>
      <c r="D162" s="42" t="s">
        <v>295</v>
      </c>
      <c r="E162" s="48">
        <v>9006637723</v>
      </c>
    </row>
    <row r="163" spans="1:5" ht="12.5">
      <c r="A163" s="42" t="s">
        <v>305</v>
      </c>
      <c r="B163" s="47" t="s">
        <v>35</v>
      </c>
      <c r="C163" s="42" t="s">
        <v>306</v>
      </c>
      <c r="D163" s="42" t="s">
        <v>295</v>
      </c>
      <c r="E163" s="48">
        <v>9853533185</v>
      </c>
    </row>
    <row r="164" spans="1:5" ht="12.5">
      <c r="A164" s="42" t="s">
        <v>307</v>
      </c>
      <c r="B164" s="47" t="s">
        <v>40</v>
      </c>
      <c r="C164" s="42" t="s">
        <v>308</v>
      </c>
      <c r="E164" s="48">
        <v>9553533155</v>
      </c>
    </row>
    <row r="165" spans="1:5" ht="12.5">
      <c r="A165" s="42" t="s">
        <v>309</v>
      </c>
      <c r="B165" s="47" t="s">
        <v>40</v>
      </c>
      <c r="C165" s="42" t="s">
        <v>47</v>
      </c>
      <c r="D165" s="42" t="s">
        <v>295</v>
      </c>
      <c r="E165" s="48">
        <v>9121769723</v>
      </c>
    </row>
    <row r="166" spans="1:5" ht="12.5">
      <c r="A166" s="42" t="s">
        <v>310</v>
      </c>
      <c r="B166" s="47" t="s">
        <v>40</v>
      </c>
      <c r="C166" s="42" t="s">
        <v>61</v>
      </c>
      <c r="D166" s="42" t="s">
        <v>55</v>
      </c>
      <c r="E166" s="48">
        <v>9668237863</v>
      </c>
    </row>
    <row r="167" spans="1:5" ht="12.5">
      <c r="A167" s="42" t="s">
        <v>311</v>
      </c>
      <c r="B167" s="47" t="s">
        <v>35</v>
      </c>
      <c r="C167" s="42" t="s">
        <v>312</v>
      </c>
      <c r="D167" s="42" t="s">
        <v>295</v>
      </c>
      <c r="E167" s="48">
        <v>9079097940</v>
      </c>
    </row>
    <row r="168" spans="1:5" ht="12.5">
      <c r="A168" s="42" t="s">
        <v>313</v>
      </c>
      <c r="B168" s="47" t="s">
        <v>35</v>
      </c>
      <c r="C168" s="42" t="s">
        <v>54</v>
      </c>
      <c r="E168" s="48">
        <v>9062214234</v>
      </c>
    </row>
    <row r="169" spans="1:5" ht="12.5">
      <c r="A169" s="42" t="s">
        <v>314</v>
      </c>
      <c r="B169" s="47" t="s">
        <v>40</v>
      </c>
      <c r="C169" s="42" t="s">
        <v>54</v>
      </c>
      <c r="D169" s="42" t="s">
        <v>315</v>
      </c>
      <c r="E169" s="48">
        <v>9505603181</v>
      </c>
    </row>
    <row r="170" spans="1:5" ht="12.5">
      <c r="A170" s="42" t="s">
        <v>316</v>
      </c>
      <c r="B170" s="47" t="s">
        <v>35</v>
      </c>
      <c r="C170" s="42" t="s">
        <v>196</v>
      </c>
      <c r="D170" s="42" t="s">
        <v>317</v>
      </c>
      <c r="E170" s="48">
        <v>9518592706</v>
      </c>
    </row>
    <row r="171" spans="1:5" ht="12.5">
      <c r="A171" s="42" t="s">
        <v>318</v>
      </c>
      <c r="B171" s="47" t="s">
        <v>35</v>
      </c>
      <c r="C171" s="42" t="s">
        <v>196</v>
      </c>
      <c r="D171" s="42" t="s">
        <v>317</v>
      </c>
      <c r="E171" s="48">
        <v>9487862779</v>
      </c>
    </row>
    <row r="172" spans="1:5" ht="12.5">
      <c r="A172" s="42" t="s">
        <v>319</v>
      </c>
      <c r="B172" s="47" t="s">
        <v>40</v>
      </c>
      <c r="C172" s="42" t="s">
        <v>196</v>
      </c>
      <c r="D172" s="42" t="s">
        <v>317</v>
      </c>
      <c r="E172" s="48">
        <v>9129546674</v>
      </c>
    </row>
    <row r="173" spans="1:5" ht="12.5">
      <c r="A173" s="42" t="s">
        <v>320</v>
      </c>
      <c r="B173" s="47" t="s">
        <v>40</v>
      </c>
      <c r="C173" s="42" t="s">
        <v>257</v>
      </c>
      <c r="D173" s="42" t="s">
        <v>321</v>
      </c>
      <c r="E173" s="48">
        <v>9943667617</v>
      </c>
    </row>
    <row r="174" spans="1:5" ht="12.5">
      <c r="A174" s="42" t="s">
        <v>322</v>
      </c>
      <c r="B174" s="47" t="s">
        <v>40</v>
      </c>
      <c r="C174" s="42" t="s">
        <v>323</v>
      </c>
      <c r="E174" s="48">
        <v>9635399201</v>
      </c>
    </row>
    <row r="175" spans="1:5" ht="12.5">
      <c r="A175" s="42" t="s">
        <v>324</v>
      </c>
      <c r="B175" s="47" t="s">
        <v>40</v>
      </c>
      <c r="C175" s="42" t="s">
        <v>325</v>
      </c>
      <c r="D175" s="42" t="s">
        <v>55</v>
      </c>
      <c r="E175" s="48">
        <v>9388887636</v>
      </c>
    </row>
    <row r="176" spans="1:5" ht="12.5">
      <c r="A176" s="42" t="s">
        <v>326</v>
      </c>
      <c r="B176" s="47" t="s">
        <v>40</v>
      </c>
      <c r="C176" s="42" t="s">
        <v>36</v>
      </c>
      <c r="D176" s="42" t="s">
        <v>327</v>
      </c>
      <c r="E176" s="48">
        <v>9207443418</v>
      </c>
    </row>
    <row r="177" spans="1:5" ht="12.5">
      <c r="A177" s="42" t="s">
        <v>328</v>
      </c>
      <c r="B177" s="47" t="s">
        <v>35</v>
      </c>
      <c r="C177" s="42" t="s">
        <v>329</v>
      </c>
      <c r="D177" s="42" t="s">
        <v>317</v>
      </c>
      <c r="E177" s="48">
        <v>9511990321</v>
      </c>
    </row>
    <row r="178" spans="1:5" ht="12.5">
      <c r="A178" s="42" t="s">
        <v>330</v>
      </c>
      <c r="B178" s="47" t="s">
        <v>40</v>
      </c>
      <c r="C178" s="42" t="s">
        <v>331</v>
      </c>
      <c r="D178" s="42" t="s">
        <v>317</v>
      </c>
      <c r="E178" s="48">
        <v>9317262562</v>
      </c>
    </row>
    <row r="179" spans="1:5" ht="12.5">
      <c r="A179" s="42" t="s">
        <v>332</v>
      </c>
      <c r="B179" s="47" t="s">
        <v>40</v>
      </c>
      <c r="C179" s="42" t="s">
        <v>36</v>
      </c>
      <c r="E179" s="48"/>
    </row>
    <row r="180" spans="1:5" ht="12.5">
      <c r="A180" s="42" t="s">
        <v>333</v>
      </c>
      <c r="B180" s="47" t="s">
        <v>40</v>
      </c>
      <c r="C180" s="42" t="s">
        <v>334</v>
      </c>
      <c r="D180" s="42" t="s">
        <v>335</v>
      </c>
      <c r="E180" s="48">
        <v>9671325090</v>
      </c>
    </row>
    <row r="181" spans="1:5" ht="12.5">
      <c r="A181" s="42" t="s">
        <v>336</v>
      </c>
      <c r="B181" s="47" t="s">
        <v>35</v>
      </c>
      <c r="C181" s="42" t="s">
        <v>337</v>
      </c>
      <c r="D181" s="42" t="s">
        <v>317</v>
      </c>
      <c r="E181" s="48">
        <v>9279363597</v>
      </c>
    </row>
    <row r="182" spans="1:5" ht="12.5">
      <c r="A182" s="42" t="s">
        <v>338</v>
      </c>
      <c r="B182" s="47" t="s">
        <v>35</v>
      </c>
      <c r="C182" s="42" t="s">
        <v>339</v>
      </c>
      <c r="D182" s="42" t="s">
        <v>335</v>
      </c>
      <c r="E182" s="48">
        <v>9260414915</v>
      </c>
    </row>
    <row r="183" spans="1:5" ht="12.5">
      <c r="A183" s="42" t="s">
        <v>340</v>
      </c>
      <c r="B183" s="47" t="s">
        <v>40</v>
      </c>
      <c r="C183" s="42" t="s">
        <v>341</v>
      </c>
      <c r="D183" s="42" t="s">
        <v>342</v>
      </c>
      <c r="E183" s="48">
        <v>9319373034</v>
      </c>
    </row>
    <row r="184" spans="1:5" ht="12.5">
      <c r="A184" s="42" t="s">
        <v>343</v>
      </c>
      <c r="B184" s="47" t="s">
        <v>35</v>
      </c>
      <c r="C184" s="42" t="s">
        <v>344</v>
      </c>
      <c r="E184" s="48">
        <v>9929479403</v>
      </c>
    </row>
    <row r="185" spans="1:5" ht="12.5">
      <c r="A185" s="42" t="s">
        <v>345</v>
      </c>
      <c r="B185" s="47" t="s">
        <v>35</v>
      </c>
      <c r="C185" s="42" t="s">
        <v>346</v>
      </c>
      <c r="D185" s="42" t="s">
        <v>327</v>
      </c>
      <c r="E185" s="48">
        <v>9855242115</v>
      </c>
    </row>
    <row r="186" spans="1:5" ht="12.5">
      <c r="A186" s="42" t="s">
        <v>347</v>
      </c>
      <c r="B186" s="47" t="s">
        <v>35</v>
      </c>
      <c r="C186" s="42" t="s">
        <v>348</v>
      </c>
      <c r="D186" s="42" t="s">
        <v>349</v>
      </c>
      <c r="E186" s="48">
        <v>9461255393</v>
      </c>
    </row>
    <row r="187" spans="1:5" ht="12.5">
      <c r="A187" s="42" t="s">
        <v>350</v>
      </c>
      <c r="B187" s="47" t="s">
        <v>40</v>
      </c>
      <c r="C187" s="42" t="s">
        <v>351</v>
      </c>
      <c r="E187" s="48">
        <v>9532306318</v>
      </c>
    </row>
    <row r="188" spans="1:5" ht="12.5">
      <c r="A188" s="42" t="s">
        <v>352</v>
      </c>
      <c r="B188" s="47" t="s">
        <v>40</v>
      </c>
      <c r="C188" s="42" t="s">
        <v>353</v>
      </c>
      <c r="D188" s="42" t="s">
        <v>354</v>
      </c>
      <c r="E188" s="48">
        <v>997758608</v>
      </c>
    </row>
    <row r="189" spans="1:5" ht="12.5">
      <c r="A189" s="42" t="s">
        <v>355</v>
      </c>
      <c r="B189" s="47" t="s">
        <v>35</v>
      </c>
      <c r="C189" s="42" t="s">
        <v>356</v>
      </c>
      <c r="D189" s="42" t="s">
        <v>349</v>
      </c>
      <c r="E189" s="48">
        <v>9502780866</v>
      </c>
    </row>
    <row r="190" spans="1:5" ht="12.5">
      <c r="A190" s="42" t="s">
        <v>357</v>
      </c>
      <c r="B190" s="47" t="s">
        <v>40</v>
      </c>
      <c r="C190" s="42" t="s">
        <v>358</v>
      </c>
      <c r="D190" s="42" t="s">
        <v>359</v>
      </c>
      <c r="E190" s="48">
        <v>9199318879</v>
      </c>
    </row>
    <row r="191" spans="1:5" ht="12.5">
      <c r="A191" s="42" t="s">
        <v>202</v>
      </c>
      <c r="B191" s="47" t="s">
        <v>35</v>
      </c>
      <c r="C191" s="42" t="s">
        <v>203</v>
      </c>
      <c r="E191" s="48">
        <v>9109799103</v>
      </c>
    </row>
    <row r="192" spans="1:5" ht="12.5">
      <c r="A192" s="42" t="s">
        <v>360</v>
      </c>
      <c r="B192" s="47" t="s">
        <v>40</v>
      </c>
      <c r="C192" s="42" t="s">
        <v>361</v>
      </c>
      <c r="D192" s="42" t="s">
        <v>327</v>
      </c>
      <c r="E192" s="48">
        <v>9949919345</v>
      </c>
    </row>
    <row r="193" spans="1:5" ht="12.5">
      <c r="A193" s="42" t="s">
        <v>362</v>
      </c>
      <c r="B193" s="47" t="s">
        <v>35</v>
      </c>
      <c r="C193" s="42" t="s">
        <v>363</v>
      </c>
      <c r="E193" s="48">
        <v>9955943414</v>
      </c>
    </row>
    <row r="194" spans="1:5" ht="12.5">
      <c r="A194" s="42" t="s">
        <v>364</v>
      </c>
      <c r="B194" s="47" t="s">
        <v>40</v>
      </c>
      <c r="C194" s="42" t="s">
        <v>365</v>
      </c>
      <c r="D194" s="42" t="s">
        <v>366</v>
      </c>
      <c r="E194" s="48">
        <v>9518815822</v>
      </c>
    </row>
    <row r="195" spans="1:5" ht="12.5">
      <c r="A195" s="42" t="s">
        <v>367</v>
      </c>
      <c r="B195" s="47" t="s">
        <v>35</v>
      </c>
      <c r="C195" s="42" t="s">
        <v>365</v>
      </c>
      <c r="D195" s="42" t="s">
        <v>366</v>
      </c>
      <c r="E195" s="48">
        <v>9395082871</v>
      </c>
    </row>
    <row r="196" spans="1:5" ht="12.5">
      <c r="A196" s="42" t="s">
        <v>368</v>
      </c>
      <c r="B196" s="47" t="s">
        <v>35</v>
      </c>
      <c r="C196" s="42" t="s">
        <v>369</v>
      </c>
      <c r="D196" s="42" t="s">
        <v>370</v>
      </c>
      <c r="E196" s="48">
        <v>9516828214</v>
      </c>
    </row>
    <row r="197" spans="1:5" ht="12.5">
      <c r="A197" s="42" t="s">
        <v>371</v>
      </c>
      <c r="B197" s="47" t="s">
        <v>35</v>
      </c>
      <c r="C197" s="42" t="s">
        <v>372</v>
      </c>
      <c r="D197" s="42" t="s">
        <v>189</v>
      </c>
      <c r="E197" s="48">
        <v>9851449090</v>
      </c>
    </row>
    <row r="198" spans="1:5" ht="12.5">
      <c r="A198" s="42" t="s">
        <v>373</v>
      </c>
      <c r="B198" s="47" t="s">
        <v>40</v>
      </c>
      <c r="C198" s="42" t="s">
        <v>372</v>
      </c>
      <c r="D198" s="42" t="s">
        <v>374</v>
      </c>
      <c r="E198" s="48">
        <v>9507875980</v>
      </c>
    </row>
    <row r="199" spans="1:5" ht="12.5">
      <c r="A199" s="42" t="s">
        <v>375</v>
      </c>
      <c r="B199" s="47" t="s">
        <v>35</v>
      </c>
      <c r="C199" s="42" t="s">
        <v>376</v>
      </c>
      <c r="D199" s="42" t="s">
        <v>374</v>
      </c>
      <c r="E199" s="48">
        <v>9851010704</v>
      </c>
    </row>
    <row r="200" spans="1:5" ht="12.5">
      <c r="A200" s="42" t="s">
        <v>377</v>
      </c>
      <c r="B200" s="47" t="s">
        <v>40</v>
      </c>
      <c r="C200" s="42" t="s">
        <v>378</v>
      </c>
      <c r="D200" s="42" t="s">
        <v>189</v>
      </c>
      <c r="E200" s="48">
        <v>9974979069</v>
      </c>
    </row>
    <row r="201" spans="1:5" ht="12.5">
      <c r="A201" s="42" t="s">
        <v>379</v>
      </c>
      <c r="B201" s="47" t="s">
        <v>40</v>
      </c>
      <c r="C201" s="42" t="s">
        <v>376</v>
      </c>
      <c r="D201" s="42" t="s">
        <v>380</v>
      </c>
      <c r="E201" s="48">
        <v>9512475345</v>
      </c>
    </row>
    <row r="202" spans="1:5" ht="12.5">
      <c r="A202" s="42" t="s">
        <v>381</v>
      </c>
      <c r="B202" s="47" t="s">
        <v>35</v>
      </c>
      <c r="C202" s="42" t="s">
        <v>376</v>
      </c>
      <c r="D202" s="42" t="s">
        <v>382</v>
      </c>
      <c r="E202" s="48">
        <v>9632336477</v>
      </c>
    </row>
    <row r="203" spans="1:5" ht="12.5">
      <c r="A203" s="42" t="s">
        <v>383</v>
      </c>
      <c r="B203" s="47" t="s">
        <v>35</v>
      </c>
      <c r="C203" s="42" t="s">
        <v>384</v>
      </c>
      <c r="D203" s="42" t="s">
        <v>327</v>
      </c>
      <c r="E203" s="48">
        <v>9367219282</v>
      </c>
    </row>
    <row r="204" spans="1:5" ht="12.5">
      <c r="A204" s="42" t="s">
        <v>385</v>
      </c>
      <c r="B204" s="47" t="s">
        <v>35</v>
      </c>
      <c r="C204" s="42" t="s">
        <v>386</v>
      </c>
      <c r="E204" s="48">
        <v>9559630064</v>
      </c>
    </row>
    <row r="205" spans="1:5" ht="12.5">
      <c r="A205" s="42" t="s">
        <v>387</v>
      </c>
      <c r="B205" s="47" t="s">
        <v>40</v>
      </c>
      <c r="C205" s="42" t="s">
        <v>388</v>
      </c>
      <c r="D205" s="42" t="s">
        <v>189</v>
      </c>
      <c r="E205" s="48">
        <v>9560754602</v>
      </c>
    </row>
    <row r="206" spans="1:5" ht="12.5">
      <c r="A206" s="42" t="s">
        <v>389</v>
      </c>
      <c r="B206" s="47" t="s">
        <v>35</v>
      </c>
      <c r="C206" s="42" t="s">
        <v>390</v>
      </c>
      <c r="D206" s="42" t="s">
        <v>189</v>
      </c>
      <c r="E206" s="48">
        <v>9157100548</v>
      </c>
    </row>
    <row r="207" spans="1:5" ht="12.5">
      <c r="A207" s="42" t="s">
        <v>391</v>
      </c>
      <c r="B207" s="47" t="s">
        <v>40</v>
      </c>
      <c r="C207" s="42" t="s">
        <v>392</v>
      </c>
      <c r="E207" s="48">
        <v>9241820106</v>
      </c>
    </row>
    <row r="208" spans="1:5" ht="12.5">
      <c r="A208" s="42" t="s">
        <v>393</v>
      </c>
      <c r="B208" s="47" t="s">
        <v>40</v>
      </c>
      <c r="C208" s="42" t="s">
        <v>394</v>
      </c>
      <c r="D208" s="42" t="s">
        <v>395</v>
      </c>
      <c r="E208" s="48">
        <v>9090920219</v>
      </c>
    </row>
    <row r="209" spans="1:5" ht="12.5">
      <c r="A209" s="42" t="s">
        <v>396</v>
      </c>
      <c r="B209" s="47" t="s">
        <v>40</v>
      </c>
      <c r="C209" s="42" t="s">
        <v>397</v>
      </c>
      <c r="D209" s="42" t="s">
        <v>398</v>
      </c>
      <c r="E209" s="48">
        <v>9108596806</v>
      </c>
    </row>
    <row r="210" spans="1:5" ht="12.5">
      <c r="B210" s="47"/>
      <c r="E210" s="48"/>
    </row>
    <row r="211" spans="1:5" ht="12.5">
      <c r="B211" s="47"/>
      <c r="E211" s="48"/>
    </row>
    <row r="212" spans="1:5" ht="12.5">
      <c r="B212" s="47"/>
      <c r="E212" s="48"/>
    </row>
    <row r="213" spans="1:5" ht="12.5">
      <c r="B213" s="47"/>
      <c r="E213" s="48"/>
    </row>
    <row r="214" spans="1:5" ht="12.5">
      <c r="B214" s="47"/>
      <c r="E214" s="48"/>
    </row>
    <row r="215" spans="1:5" ht="12.5">
      <c r="B215" s="47"/>
      <c r="E215" s="48"/>
    </row>
    <row r="216" spans="1:5" ht="12.5">
      <c r="B216" s="47"/>
      <c r="E216" s="48"/>
    </row>
    <row r="217" spans="1:5" ht="12.5">
      <c r="B217" s="47"/>
      <c r="E217" s="48"/>
    </row>
    <row r="218" spans="1:5" ht="12.5">
      <c r="B218" s="47"/>
      <c r="E218" s="48"/>
    </row>
    <row r="219" spans="1:5" ht="12.5">
      <c r="B219" s="47"/>
      <c r="E219" s="48"/>
    </row>
    <row r="220" spans="1:5" ht="12.5">
      <c r="B220" s="47"/>
      <c r="E220" s="48"/>
    </row>
    <row r="221" spans="1:5" ht="12.5">
      <c r="B221" s="47"/>
      <c r="E221" s="48"/>
    </row>
    <row r="222" spans="1:5" ht="12.5">
      <c r="B222" s="47"/>
      <c r="E222" s="48"/>
    </row>
    <row r="223" spans="1:5" ht="12.5">
      <c r="B223" s="47"/>
      <c r="E223" s="48"/>
    </row>
    <row r="224" spans="1:5" ht="12.5">
      <c r="B224" s="47"/>
      <c r="E224" s="48"/>
    </row>
    <row r="225" spans="2:5" ht="12.5">
      <c r="B225" s="47"/>
      <c r="E225" s="48"/>
    </row>
    <row r="226" spans="2:5" ht="12.5">
      <c r="B226" s="47"/>
      <c r="E226" s="48"/>
    </row>
    <row r="227" spans="2:5" ht="12.5">
      <c r="B227" s="47"/>
      <c r="E227" s="48"/>
    </row>
    <row r="228" spans="2:5" ht="12.5">
      <c r="B228" s="47"/>
      <c r="E228" s="48"/>
    </row>
    <row r="229" spans="2:5" ht="12.5">
      <c r="B229" s="47"/>
      <c r="E229" s="48"/>
    </row>
    <row r="230" spans="2:5" ht="12.5">
      <c r="B230" s="47"/>
      <c r="E230" s="48"/>
    </row>
    <row r="231" spans="2:5" ht="12.5">
      <c r="B231" s="47"/>
      <c r="E231" s="48"/>
    </row>
    <row r="232" spans="2:5" ht="12.5">
      <c r="B232" s="47"/>
      <c r="E232" s="48"/>
    </row>
    <row r="233" spans="2:5" ht="12.5">
      <c r="B233" s="47"/>
      <c r="E233" s="48"/>
    </row>
    <row r="234" spans="2:5" ht="12.5">
      <c r="B234" s="47"/>
      <c r="E234" s="48"/>
    </row>
    <row r="235" spans="2:5" ht="12.5">
      <c r="B235" s="47"/>
      <c r="E235" s="48"/>
    </row>
    <row r="236" spans="2:5" ht="12.5">
      <c r="B236" s="47"/>
      <c r="E236" s="48"/>
    </row>
    <row r="237" spans="2:5" ht="12.5">
      <c r="B237" s="47"/>
      <c r="E237" s="48"/>
    </row>
    <row r="238" spans="2:5" ht="12.5">
      <c r="B238" s="47"/>
      <c r="E238" s="48"/>
    </row>
    <row r="239" spans="2:5" ht="12.5">
      <c r="B239" s="47"/>
      <c r="E239" s="48"/>
    </row>
    <row r="240" spans="2:5" ht="12.5">
      <c r="B240" s="47"/>
      <c r="E240" s="48"/>
    </row>
    <row r="241" spans="2:5" ht="12.5">
      <c r="B241" s="47"/>
      <c r="E241" s="48"/>
    </row>
    <row r="242" spans="2:5" ht="12.5">
      <c r="B242" s="47"/>
      <c r="E242" s="48"/>
    </row>
    <row r="243" spans="2:5" ht="12.5">
      <c r="B243" s="47"/>
      <c r="E243" s="48"/>
    </row>
    <row r="244" spans="2:5" ht="12.5">
      <c r="B244" s="47"/>
      <c r="E244" s="48"/>
    </row>
    <row r="245" spans="2:5" ht="12.5">
      <c r="B245" s="47"/>
      <c r="E245" s="48"/>
    </row>
    <row r="246" spans="2:5" ht="12.5">
      <c r="B246" s="47"/>
      <c r="E246" s="48"/>
    </row>
    <row r="247" spans="2:5" ht="12.5">
      <c r="B247" s="47"/>
      <c r="E247" s="48"/>
    </row>
    <row r="248" spans="2:5" ht="12.5">
      <c r="B248" s="47"/>
      <c r="E248" s="48"/>
    </row>
    <row r="249" spans="2:5" ht="12.5">
      <c r="B249" s="47"/>
      <c r="E249" s="48"/>
    </row>
    <row r="250" spans="2:5" ht="12.5">
      <c r="B250" s="47"/>
      <c r="E250" s="48"/>
    </row>
    <row r="251" spans="2:5" ht="12.5">
      <c r="B251" s="47"/>
      <c r="E251" s="48"/>
    </row>
    <row r="252" spans="2:5" ht="12.5">
      <c r="B252" s="47"/>
      <c r="E252" s="48"/>
    </row>
    <row r="253" spans="2:5" ht="12.5">
      <c r="B253" s="47"/>
      <c r="E253" s="48"/>
    </row>
    <row r="254" spans="2:5" ht="12.5">
      <c r="B254" s="47"/>
      <c r="E254" s="48"/>
    </row>
    <row r="255" spans="2:5" ht="12.5">
      <c r="B255" s="47"/>
      <c r="E255" s="48"/>
    </row>
    <row r="256" spans="2:5" ht="12.5">
      <c r="B256" s="47"/>
      <c r="E256" s="48"/>
    </row>
    <row r="257" spans="2:5" ht="12.5">
      <c r="B257" s="47"/>
      <c r="E257" s="48"/>
    </row>
    <row r="258" spans="2:5" ht="12.5">
      <c r="B258" s="47"/>
      <c r="E258" s="48"/>
    </row>
    <row r="259" spans="2:5" ht="12.5">
      <c r="B259" s="47"/>
      <c r="E259" s="48"/>
    </row>
    <row r="260" spans="2:5" ht="12.5">
      <c r="B260" s="47"/>
      <c r="E260" s="48"/>
    </row>
    <row r="261" spans="2:5" ht="12.5">
      <c r="B261" s="47"/>
      <c r="E261" s="48"/>
    </row>
    <row r="262" spans="2:5" ht="12.5">
      <c r="B262" s="47"/>
      <c r="E262" s="48"/>
    </row>
    <row r="263" spans="2:5" ht="12.5">
      <c r="B263" s="47"/>
      <c r="E263" s="48"/>
    </row>
    <row r="264" spans="2:5" ht="12.5">
      <c r="B264" s="47"/>
      <c r="E264" s="48"/>
    </row>
    <row r="265" spans="2:5" ht="12.5">
      <c r="B265" s="47"/>
      <c r="E265" s="48"/>
    </row>
    <row r="266" spans="2:5" ht="12.5">
      <c r="B266" s="47"/>
      <c r="E266" s="48"/>
    </row>
    <row r="267" spans="2:5" ht="12.5">
      <c r="B267" s="47"/>
      <c r="E267" s="48"/>
    </row>
    <row r="268" spans="2:5" ht="12.5">
      <c r="B268" s="47"/>
      <c r="E268" s="48"/>
    </row>
    <row r="269" spans="2:5" ht="12.5">
      <c r="B269" s="47"/>
      <c r="E269" s="48"/>
    </row>
    <row r="270" spans="2:5" ht="12.5">
      <c r="B270" s="47"/>
      <c r="E270" s="48"/>
    </row>
    <row r="271" spans="2:5" ht="12.5">
      <c r="B271" s="47"/>
      <c r="E271" s="48"/>
    </row>
    <row r="272" spans="2:5" ht="12.5">
      <c r="B272" s="47"/>
      <c r="E272" s="48"/>
    </row>
    <row r="273" spans="2:5" ht="12.5">
      <c r="B273" s="47"/>
      <c r="E273" s="48"/>
    </row>
    <row r="274" spans="2:5" ht="12.5">
      <c r="B274" s="47"/>
      <c r="E274" s="48"/>
    </row>
    <row r="275" spans="2:5" ht="12.5">
      <c r="B275" s="47"/>
      <c r="E275" s="48"/>
    </row>
    <row r="276" spans="2:5" ht="12.5">
      <c r="B276" s="47"/>
      <c r="E276" s="48"/>
    </row>
    <row r="277" spans="2:5" ht="12.5">
      <c r="B277" s="47"/>
      <c r="E277" s="48"/>
    </row>
    <row r="278" spans="2:5" ht="12.5">
      <c r="B278" s="47"/>
      <c r="E278" s="48"/>
    </row>
    <row r="279" spans="2:5" ht="12.5">
      <c r="B279" s="47"/>
      <c r="E279" s="48"/>
    </row>
    <row r="280" spans="2:5" ht="12.5">
      <c r="B280" s="47"/>
      <c r="E280" s="48"/>
    </row>
    <row r="281" spans="2:5" ht="12.5">
      <c r="B281" s="47"/>
      <c r="E281" s="48"/>
    </row>
    <row r="282" spans="2:5" ht="12.5">
      <c r="B282" s="47"/>
      <c r="E282" s="48"/>
    </row>
    <row r="283" spans="2:5" ht="12.5">
      <c r="B283" s="47"/>
      <c r="E283" s="48"/>
    </row>
    <row r="284" spans="2:5" ht="12.5">
      <c r="B284" s="47"/>
      <c r="E284" s="48"/>
    </row>
    <row r="285" spans="2:5" ht="12.5">
      <c r="B285" s="47"/>
      <c r="E285" s="48"/>
    </row>
    <row r="286" spans="2:5" ht="12.5">
      <c r="B286" s="47"/>
      <c r="E286" s="48"/>
    </row>
    <row r="287" spans="2:5" ht="12.5">
      <c r="B287" s="47"/>
      <c r="E287" s="48"/>
    </row>
    <row r="288" spans="2:5" ht="12.5">
      <c r="B288" s="47"/>
      <c r="E288" s="48"/>
    </row>
    <row r="289" spans="2:5" ht="12.5">
      <c r="B289" s="47"/>
      <c r="E289" s="48"/>
    </row>
    <row r="290" spans="2:5" ht="12.5">
      <c r="B290" s="47"/>
      <c r="E290" s="48"/>
    </row>
    <row r="291" spans="2:5" ht="12.5">
      <c r="B291" s="47"/>
      <c r="E291" s="48"/>
    </row>
    <row r="292" spans="2:5" ht="12.5">
      <c r="B292" s="47"/>
      <c r="E292" s="48"/>
    </row>
    <row r="293" spans="2:5" ht="12.5">
      <c r="B293" s="47"/>
      <c r="E293" s="48"/>
    </row>
    <row r="294" spans="2:5" ht="12.5">
      <c r="B294" s="47"/>
      <c r="E294" s="48"/>
    </row>
    <row r="295" spans="2:5" ht="12.5">
      <c r="B295" s="47"/>
      <c r="E295" s="48"/>
    </row>
    <row r="296" spans="2:5" ht="12.5">
      <c r="B296" s="47"/>
      <c r="E296" s="48"/>
    </row>
    <row r="297" spans="2:5" ht="12.5">
      <c r="B297" s="47"/>
      <c r="E297" s="48"/>
    </row>
    <row r="298" spans="2:5" ht="12.5">
      <c r="B298" s="47"/>
      <c r="E298" s="48"/>
    </row>
    <row r="299" spans="2:5" ht="12.5">
      <c r="B299" s="47"/>
      <c r="E299" s="48"/>
    </row>
    <row r="300" spans="2:5" ht="12.5">
      <c r="B300" s="47"/>
      <c r="E300" s="48"/>
    </row>
    <row r="301" spans="2:5" ht="12.5">
      <c r="B301" s="47"/>
      <c r="E301" s="48"/>
    </row>
    <row r="302" spans="2:5" ht="12.5">
      <c r="B302" s="47"/>
      <c r="E302" s="48"/>
    </row>
    <row r="303" spans="2:5" ht="12.5">
      <c r="B303" s="47"/>
      <c r="E303" s="48"/>
    </row>
    <row r="304" spans="2:5" ht="12.5">
      <c r="B304" s="47"/>
      <c r="E304" s="48"/>
    </row>
    <row r="305" spans="2:5" ht="12.5">
      <c r="B305" s="47"/>
      <c r="E305" s="48"/>
    </row>
    <row r="306" spans="2:5" ht="12.5">
      <c r="B306" s="47"/>
      <c r="E306" s="48"/>
    </row>
    <row r="307" spans="2:5" ht="12.5">
      <c r="B307" s="47"/>
      <c r="E307" s="48"/>
    </row>
    <row r="308" spans="2:5" ht="12.5">
      <c r="B308" s="47"/>
      <c r="E308" s="48"/>
    </row>
    <row r="309" spans="2:5" ht="12.5">
      <c r="B309" s="47"/>
      <c r="E309" s="48"/>
    </row>
    <row r="310" spans="2:5" ht="12.5">
      <c r="B310" s="47"/>
      <c r="E310" s="48"/>
    </row>
    <row r="311" spans="2:5" ht="12.5">
      <c r="B311" s="47"/>
      <c r="E311" s="48"/>
    </row>
    <row r="312" spans="2:5" ht="12.5">
      <c r="B312" s="47"/>
      <c r="E312" s="48"/>
    </row>
    <row r="313" spans="2:5" ht="12.5">
      <c r="B313" s="47"/>
      <c r="E313" s="48"/>
    </row>
    <row r="314" spans="2:5" ht="12.5">
      <c r="B314" s="47"/>
      <c r="E314" s="48"/>
    </row>
    <row r="315" spans="2:5" ht="12.5">
      <c r="B315" s="47"/>
      <c r="E315" s="48"/>
    </row>
    <row r="316" spans="2:5" ht="12.5">
      <c r="B316" s="47"/>
      <c r="E316" s="48"/>
    </row>
    <row r="317" spans="2:5" ht="12.5">
      <c r="B317" s="47"/>
      <c r="E317" s="48"/>
    </row>
    <row r="318" spans="2:5" ht="12.5">
      <c r="B318" s="47"/>
      <c r="E318" s="48"/>
    </row>
    <row r="319" spans="2:5" ht="12.5">
      <c r="B319" s="47"/>
      <c r="E319" s="48"/>
    </row>
    <row r="320" spans="2:5" ht="12.5">
      <c r="B320" s="47"/>
      <c r="E320" s="48"/>
    </row>
    <row r="321" spans="2:5" ht="12.5">
      <c r="B321" s="47"/>
      <c r="E321" s="48"/>
    </row>
    <row r="322" spans="2:5" ht="12.5">
      <c r="B322" s="47"/>
      <c r="E322" s="48"/>
    </row>
    <row r="323" spans="2:5" ht="12.5">
      <c r="B323" s="47"/>
      <c r="E323" s="48"/>
    </row>
    <row r="324" spans="2:5" ht="12.5">
      <c r="B324" s="47"/>
      <c r="E324" s="48"/>
    </row>
    <row r="325" spans="2:5" ht="12.5">
      <c r="B325" s="47"/>
      <c r="E325" s="48"/>
    </row>
    <row r="326" spans="2:5" ht="12.5">
      <c r="B326" s="47"/>
      <c r="E326" s="48"/>
    </row>
    <row r="327" spans="2:5" ht="12.5">
      <c r="B327" s="47"/>
      <c r="E327" s="48"/>
    </row>
    <row r="328" spans="2:5" ht="12.5">
      <c r="B328" s="47"/>
      <c r="E328" s="48"/>
    </row>
    <row r="329" spans="2:5" ht="12.5">
      <c r="B329" s="47"/>
      <c r="E329" s="48"/>
    </row>
    <row r="330" spans="2:5" ht="12.5">
      <c r="B330" s="47"/>
      <c r="E330" s="48"/>
    </row>
    <row r="331" spans="2:5" ht="12.5">
      <c r="B331" s="47"/>
      <c r="E331" s="48"/>
    </row>
    <row r="332" spans="2:5" ht="12.5">
      <c r="B332" s="47"/>
      <c r="E332" s="48"/>
    </row>
    <row r="333" spans="2:5" ht="12.5">
      <c r="B333" s="47"/>
      <c r="E333" s="48"/>
    </row>
    <row r="334" spans="2:5" ht="12.5">
      <c r="B334" s="47"/>
      <c r="E334" s="48"/>
    </row>
    <row r="335" spans="2:5" ht="12.5">
      <c r="B335" s="47"/>
      <c r="E335" s="48"/>
    </row>
    <row r="336" spans="2:5" ht="12.5">
      <c r="B336" s="47"/>
      <c r="E336" s="48"/>
    </row>
    <row r="337" spans="2:5" ht="12.5">
      <c r="B337" s="47"/>
      <c r="E337" s="48"/>
    </row>
    <row r="338" spans="2:5" ht="12.5">
      <c r="B338" s="47"/>
      <c r="E338" s="48"/>
    </row>
    <row r="339" spans="2:5" ht="12.5">
      <c r="B339" s="47"/>
      <c r="E339" s="48"/>
    </row>
    <row r="340" spans="2:5" ht="12.5">
      <c r="B340" s="47"/>
      <c r="E340" s="48"/>
    </row>
    <row r="341" spans="2:5" ht="12.5">
      <c r="B341" s="47"/>
      <c r="E341" s="48"/>
    </row>
    <row r="342" spans="2:5" ht="12.5">
      <c r="B342" s="47"/>
      <c r="E342" s="48"/>
    </row>
    <row r="343" spans="2:5" ht="12.5">
      <c r="B343" s="47"/>
      <c r="E343" s="48"/>
    </row>
    <row r="344" spans="2:5" ht="12.5">
      <c r="B344" s="47"/>
      <c r="E344" s="48"/>
    </row>
    <row r="345" spans="2:5" ht="12.5">
      <c r="B345" s="47"/>
      <c r="E345" s="48"/>
    </row>
    <row r="346" spans="2:5" ht="12.5">
      <c r="B346" s="47"/>
      <c r="E346" s="48"/>
    </row>
    <row r="347" spans="2:5" ht="12.5">
      <c r="B347" s="47"/>
      <c r="E347" s="48"/>
    </row>
    <row r="348" spans="2:5" ht="12.5">
      <c r="B348" s="47"/>
      <c r="E348" s="48"/>
    </row>
    <row r="349" spans="2:5" ht="12.5">
      <c r="B349" s="47"/>
      <c r="E349" s="48"/>
    </row>
    <row r="350" spans="2:5" ht="12.5">
      <c r="B350" s="47"/>
      <c r="E350" s="48"/>
    </row>
    <row r="351" spans="2:5" ht="12.5">
      <c r="B351" s="47"/>
      <c r="E351" s="48"/>
    </row>
    <row r="352" spans="2:5" ht="12.5">
      <c r="B352" s="47"/>
      <c r="E352" s="48"/>
    </row>
    <row r="353" spans="2:5" ht="12.5">
      <c r="B353" s="47"/>
      <c r="E353" s="48"/>
    </row>
    <row r="354" spans="2:5" ht="12.5">
      <c r="B354" s="47"/>
      <c r="E354" s="48"/>
    </row>
    <row r="355" spans="2:5" ht="12.5">
      <c r="B355" s="47"/>
      <c r="E355" s="48"/>
    </row>
    <row r="356" spans="2:5" ht="12.5">
      <c r="B356" s="47"/>
      <c r="E356" s="48"/>
    </row>
    <row r="357" spans="2:5" ht="12.5">
      <c r="B357" s="47"/>
      <c r="E357" s="48"/>
    </row>
    <row r="358" spans="2:5" ht="12.5">
      <c r="B358" s="47"/>
      <c r="E358" s="48"/>
    </row>
    <row r="359" spans="2:5" ht="12.5">
      <c r="B359" s="47"/>
      <c r="E359" s="48"/>
    </row>
    <row r="360" spans="2:5" ht="12.5">
      <c r="B360" s="47"/>
      <c r="E360" s="48"/>
    </row>
    <row r="361" spans="2:5" ht="12.5">
      <c r="B361" s="47"/>
      <c r="E361" s="48"/>
    </row>
    <row r="362" spans="2:5" ht="12.5">
      <c r="B362" s="47"/>
      <c r="E362" s="48"/>
    </row>
    <row r="363" spans="2:5" ht="12.5">
      <c r="B363" s="47"/>
      <c r="E363" s="48"/>
    </row>
    <row r="364" spans="2:5" ht="12.5">
      <c r="B364" s="47"/>
      <c r="E364" s="48"/>
    </row>
    <row r="365" spans="2:5" ht="12.5">
      <c r="B365" s="47"/>
      <c r="E365" s="48"/>
    </row>
    <row r="366" spans="2:5" ht="12.5">
      <c r="B366" s="47"/>
      <c r="E366" s="48"/>
    </row>
    <row r="367" spans="2:5" ht="12.5">
      <c r="B367" s="47"/>
      <c r="E367" s="48"/>
    </row>
    <row r="368" spans="2:5" ht="12.5">
      <c r="B368" s="47"/>
      <c r="E368" s="48"/>
    </row>
    <row r="369" spans="2:5" ht="12.5">
      <c r="B369" s="47"/>
      <c r="E369" s="48"/>
    </row>
    <row r="370" spans="2:5" ht="12.5">
      <c r="B370" s="47"/>
      <c r="E370" s="48"/>
    </row>
    <row r="371" spans="2:5" ht="12.5">
      <c r="B371" s="47"/>
      <c r="E371" s="48"/>
    </row>
    <row r="372" spans="2:5" ht="12.5">
      <c r="B372" s="47"/>
      <c r="E372" s="48"/>
    </row>
    <row r="373" spans="2:5" ht="12.5">
      <c r="B373" s="47"/>
      <c r="E373" s="48"/>
    </row>
    <row r="374" spans="2:5" ht="12.5">
      <c r="B374" s="47"/>
      <c r="E374" s="48"/>
    </row>
    <row r="375" spans="2:5" ht="12.5">
      <c r="B375" s="47"/>
      <c r="E375" s="48"/>
    </row>
    <row r="376" spans="2:5" ht="12.5">
      <c r="B376" s="47"/>
      <c r="E376" s="48"/>
    </row>
    <row r="377" spans="2:5" ht="12.5">
      <c r="B377" s="47"/>
      <c r="E377" s="48"/>
    </row>
    <row r="378" spans="2:5" ht="12.5">
      <c r="B378" s="47"/>
      <c r="E378" s="48"/>
    </row>
    <row r="379" spans="2:5" ht="12.5">
      <c r="B379" s="47"/>
      <c r="E379" s="48"/>
    </row>
    <row r="380" spans="2:5" ht="12.5">
      <c r="B380" s="47"/>
      <c r="E380" s="48"/>
    </row>
    <row r="381" spans="2:5" ht="12.5">
      <c r="B381" s="47"/>
      <c r="E381" s="48"/>
    </row>
    <row r="382" spans="2:5" ht="12.5">
      <c r="B382" s="47"/>
      <c r="E382" s="48"/>
    </row>
    <row r="383" spans="2:5" ht="12.5">
      <c r="B383" s="47"/>
      <c r="E383" s="48"/>
    </row>
    <row r="384" spans="2:5" ht="12.5">
      <c r="B384" s="47"/>
      <c r="E384" s="48"/>
    </row>
    <row r="385" spans="2:5" ht="12.5">
      <c r="B385" s="47"/>
      <c r="E385" s="48"/>
    </row>
    <row r="386" spans="2:5" ht="12.5">
      <c r="B386" s="47"/>
      <c r="E386" s="48"/>
    </row>
    <row r="387" spans="2:5" ht="12.5">
      <c r="B387" s="47"/>
      <c r="E387" s="48"/>
    </row>
    <row r="388" spans="2:5" ht="12.5">
      <c r="B388" s="47"/>
      <c r="E388" s="48"/>
    </row>
    <row r="389" spans="2:5" ht="12.5">
      <c r="B389" s="47"/>
      <c r="E389" s="48"/>
    </row>
    <row r="390" spans="2:5" ht="12.5">
      <c r="B390" s="47"/>
      <c r="E390" s="48"/>
    </row>
    <row r="391" spans="2:5" ht="12.5">
      <c r="B391" s="47"/>
      <c r="E391" s="48"/>
    </row>
    <row r="392" spans="2:5" ht="12.5">
      <c r="B392" s="47"/>
      <c r="E392" s="48"/>
    </row>
    <row r="393" spans="2:5" ht="12.5">
      <c r="B393" s="47"/>
      <c r="E393" s="48"/>
    </row>
    <row r="394" spans="2:5" ht="12.5">
      <c r="B394" s="47"/>
      <c r="E394" s="48"/>
    </row>
    <row r="395" spans="2:5" ht="12.5">
      <c r="B395" s="47"/>
      <c r="E395" s="48"/>
    </row>
    <row r="396" spans="2:5" ht="12.5">
      <c r="B396" s="47"/>
      <c r="E396" s="48"/>
    </row>
    <row r="397" spans="2:5" ht="12.5">
      <c r="B397" s="47"/>
      <c r="E397" s="48"/>
    </row>
    <row r="398" spans="2:5" ht="12.5">
      <c r="B398" s="47"/>
      <c r="E398" s="48"/>
    </row>
    <row r="399" spans="2:5" ht="12.5">
      <c r="B399" s="47"/>
      <c r="E399" s="48"/>
    </row>
    <row r="400" spans="2:5" ht="12.5">
      <c r="B400" s="47"/>
      <c r="E400" s="48"/>
    </row>
    <row r="401" spans="2:5" ht="12.5">
      <c r="B401" s="47"/>
      <c r="E401" s="48"/>
    </row>
    <row r="402" spans="2:5" ht="12.5">
      <c r="B402" s="47"/>
      <c r="E402" s="48"/>
    </row>
    <row r="403" spans="2:5" ht="12.5">
      <c r="B403" s="47"/>
      <c r="E403" s="48"/>
    </row>
    <row r="404" spans="2:5" ht="12.5">
      <c r="B404" s="47"/>
      <c r="E404" s="48"/>
    </row>
    <row r="405" spans="2:5" ht="12.5">
      <c r="B405" s="47"/>
      <c r="E405" s="48"/>
    </row>
    <row r="406" spans="2:5" ht="12.5">
      <c r="B406" s="47"/>
      <c r="E406" s="48"/>
    </row>
    <row r="407" spans="2:5" ht="12.5">
      <c r="B407" s="47"/>
      <c r="E407" s="48"/>
    </row>
    <row r="408" spans="2:5" ht="12.5">
      <c r="B408" s="47"/>
      <c r="E408" s="48"/>
    </row>
    <row r="409" spans="2:5" ht="12.5">
      <c r="B409" s="47"/>
      <c r="E409" s="48"/>
    </row>
    <row r="410" spans="2:5" ht="12.5">
      <c r="B410" s="47"/>
      <c r="E410" s="48"/>
    </row>
    <row r="411" spans="2:5" ht="12.5">
      <c r="B411" s="47"/>
      <c r="E411" s="48"/>
    </row>
    <row r="412" spans="2:5" ht="12.5">
      <c r="B412" s="47"/>
      <c r="E412" s="48"/>
    </row>
    <row r="413" spans="2:5" ht="12.5">
      <c r="B413" s="47"/>
      <c r="E413" s="48"/>
    </row>
    <row r="414" spans="2:5" ht="12.5">
      <c r="B414" s="47"/>
      <c r="E414" s="48"/>
    </row>
    <row r="415" spans="2:5" ht="12.5">
      <c r="B415" s="47"/>
      <c r="E415" s="48"/>
    </row>
    <row r="416" spans="2:5" ht="12.5">
      <c r="B416" s="47"/>
      <c r="E416" s="48"/>
    </row>
    <row r="417" spans="2:5" ht="12.5">
      <c r="B417" s="47"/>
      <c r="E417" s="48"/>
    </row>
    <row r="418" spans="2:5" ht="12.5">
      <c r="B418" s="47"/>
      <c r="E418" s="48"/>
    </row>
    <row r="419" spans="2:5" ht="12.5">
      <c r="B419" s="47"/>
      <c r="E419" s="48"/>
    </row>
    <row r="420" spans="2:5" ht="12.5">
      <c r="B420" s="47"/>
      <c r="E420" s="48"/>
    </row>
    <row r="421" spans="2:5" ht="12.5">
      <c r="B421" s="47"/>
      <c r="E421" s="48"/>
    </row>
    <row r="422" spans="2:5" ht="12.5">
      <c r="B422" s="47"/>
      <c r="E422" s="48"/>
    </row>
    <row r="423" spans="2:5" ht="12.5">
      <c r="B423" s="47"/>
      <c r="E423" s="48"/>
    </row>
    <row r="424" spans="2:5" ht="12.5">
      <c r="B424" s="47"/>
      <c r="E424" s="48"/>
    </row>
    <row r="425" spans="2:5" ht="12.5">
      <c r="B425" s="47"/>
      <c r="E425" s="48"/>
    </row>
    <row r="426" spans="2:5" ht="12.5">
      <c r="B426" s="47"/>
      <c r="E426" s="48"/>
    </row>
    <row r="427" spans="2:5" ht="12.5">
      <c r="B427" s="47"/>
      <c r="E427" s="48"/>
    </row>
    <row r="428" spans="2:5" ht="12.5">
      <c r="B428" s="47"/>
      <c r="E428" s="48"/>
    </row>
    <row r="429" spans="2:5" ht="12.5">
      <c r="B429" s="47"/>
      <c r="E429" s="48"/>
    </row>
    <row r="430" spans="2:5" ht="12.5">
      <c r="B430" s="47"/>
      <c r="E430" s="48"/>
    </row>
    <row r="431" spans="2:5" ht="12.5">
      <c r="B431" s="47"/>
      <c r="E431" s="48"/>
    </row>
    <row r="432" spans="2:5" ht="12.5">
      <c r="B432" s="47"/>
      <c r="E432" s="48"/>
    </row>
    <row r="433" spans="2:5" ht="12.5">
      <c r="B433" s="47"/>
      <c r="E433" s="48"/>
    </row>
    <row r="434" spans="2:5" ht="12.5">
      <c r="B434" s="47"/>
      <c r="E434" s="48"/>
    </row>
    <row r="435" spans="2:5" ht="12.5">
      <c r="B435" s="47"/>
      <c r="E435" s="48"/>
    </row>
    <row r="436" spans="2:5" ht="12.5">
      <c r="B436" s="47"/>
      <c r="E436" s="48"/>
    </row>
    <row r="437" spans="2:5" ht="12.5">
      <c r="B437" s="47"/>
      <c r="E437" s="48"/>
    </row>
    <row r="438" spans="2:5" ht="12.5">
      <c r="B438" s="47"/>
      <c r="E438" s="48"/>
    </row>
    <row r="439" spans="2:5" ht="12.5">
      <c r="B439" s="47"/>
      <c r="E439" s="48"/>
    </row>
    <row r="440" spans="2:5" ht="12.5">
      <c r="B440" s="47"/>
      <c r="E440" s="48"/>
    </row>
    <row r="441" spans="2:5" ht="12.5">
      <c r="B441" s="47"/>
      <c r="E441" s="48"/>
    </row>
    <row r="442" spans="2:5" ht="12.5">
      <c r="B442" s="47"/>
      <c r="E442" s="48"/>
    </row>
    <row r="443" spans="2:5" ht="12.5">
      <c r="B443" s="47"/>
      <c r="E443" s="48"/>
    </row>
    <row r="444" spans="2:5" ht="12.5">
      <c r="B444" s="47"/>
      <c r="E444" s="48"/>
    </row>
    <row r="445" spans="2:5" ht="12.5">
      <c r="B445" s="47"/>
      <c r="E445" s="48"/>
    </row>
    <row r="446" spans="2:5" ht="12.5">
      <c r="B446" s="47"/>
      <c r="E446" s="48"/>
    </row>
    <row r="447" spans="2:5" ht="12.5">
      <c r="B447" s="47"/>
      <c r="E447" s="48"/>
    </row>
    <row r="448" spans="2:5" ht="12.5">
      <c r="B448" s="47"/>
      <c r="E448" s="48"/>
    </row>
    <row r="449" spans="2:5" ht="12.5">
      <c r="B449" s="47"/>
      <c r="E449" s="48"/>
    </row>
    <row r="450" spans="2:5" ht="12.5">
      <c r="B450" s="47"/>
      <c r="E450" s="48"/>
    </row>
    <row r="451" spans="2:5" ht="12.5">
      <c r="B451" s="47"/>
      <c r="E451" s="48"/>
    </row>
    <row r="452" spans="2:5" ht="12.5">
      <c r="B452" s="47"/>
      <c r="E452" s="48"/>
    </row>
    <row r="453" spans="2:5" ht="12.5">
      <c r="B453" s="47"/>
      <c r="E453" s="48"/>
    </row>
    <row r="454" spans="2:5" ht="12.5">
      <c r="B454" s="47"/>
      <c r="E454" s="48"/>
    </row>
    <row r="455" spans="2:5" ht="12.5">
      <c r="B455" s="47"/>
      <c r="E455" s="48"/>
    </row>
    <row r="456" spans="2:5" ht="12.5">
      <c r="B456" s="47"/>
      <c r="E456" s="48"/>
    </row>
    <row r="457" spans="2:5" ht="12.5">
      <c r="B457" s="47"/>
      <c r="E457" s="48"/>
    </row>
    <row r="458" spans="2:5" ht="12.5">
      <c r="B458" s="47"/>
      <c r="E458" s="48"/>
    </row>
    <row r="459" spans="2:5" ht="12.5">
      <c r="B459" s="47"/>
      <c r="E459" s="48"/>
    </row>
    <row r="460" spans="2:5" ht="12.5">
      <c r="B460" s="47"/>
      <c r="E460" s="48"/>
    </row>
    <row r="461" spans="2:5" ht="12.5">
      <c r="B461" s="47"/>
      <c r="E461" s="48"/>
    </row>
    <row r="462" spans="2:5" ht="12.5">
      <c r="B462" s="47"/>
      <c r="E462" s="48"/>
    </row>
    <row r="463" spans="2:5" ht="12.5">
      <c r="B463" s="47"/>
      <c r="E463" s="48"/>
    </row>
    <row r="464" spans="2:5" ht="12.5">
      <c r="B464" s="47"/>
      <c r="E464" s="48"/>
    </row>
    <row r="465" spans="2:5" ht="12.5">
      <c r="B465" s="47"/>
      <c r="E465" s="48"/>
    </row>
    <row r="466" spans="2:5" ht="12.5">
      <c r="B466" s="47"/>
      <c r="E466" s="48"/>
    </row>
    <row r="467" spans="2:5" ht="12.5">
      <c r="B467" s="47"/>
      <c r="E467" s="48"/>
    </row>
    <row r="468" spans="2:5" ht="12.5">
      <c r="B468" s="47"/>
      <c r="E468" s="48"/>
    </row>
    <row r="469" spans="2:5" ht="12.5">
      <c r="B469" s="47"/>
      <c r="E469" s="48"/>
    </row>
    <row r="470" spans="2:5" ht="12.5">
      <c r="B470" s="47"/>
      <c r="E470" s="48"/>
    </row>
    <row r="471" spans="2:5" ht="12.5">
      <c r="B471" s="47"/>
      <c r="E471" s="48"/>
    </row>
    <row r="472" spans="2:5" ht="12.5">
      <c r="B472" s="47"/>
      <c r="E472" s="48"/>
    </row>
    <row r="473" spans="2:5" ht="12.5">
      <c r="B473" s="47"/>
      <c r="E473" s="48"/>
    </row>
    <row r="474" spans="2:5" ht="12.5">
      <c r="B474" s="47"/>
      <c r="E474" s="48"/>
    </row>
    <row r="475" spans="2:5" ht="12.5">
      <c r="B475" s="47"/>
      <c r="E475" s="48"/>
    </row>
    <row r="476" spans="2:5" ht="12.5">
      <c r="B476" s="47"/>
      <c r="E476" s="48"/>
    </row>
    <row r="477" spans="2:5" ht="12.5">
      <c r="B477" s="47"/>
      <c r="E477" s="48"/>
    </row>
    <row r="478" spans="2:5" ht="12.5">
      <c r="B478" s="47"/>
      <c r="E478" s="48"/>
    </row>
    <row r="479" spans="2:5" ht="12.5">
      <c r="B479" s="47"/>
      <c r="E479" s="48"/>
    </row>
    <row r="480" spans="2:5" ht="12.5">
      <c r="B480" s="47"/>
      <c r="E480" s="48"/>
    </row>
    <row r="481" spans="2:5" ht="12.5">
      <c r="B481" s="47"/>
      <c r="E481" s="48"/>
    </row>
    <row r="482" spans="2:5" ht="12.5">
      <c r="B482" s="47"/>
      <c r="E482" s="48"/>
    </row>
    <row r="483" spans="2:5" ht="12.5">
      <c r="B483" s="47"/>
      <c r="E483" s="48"/>
    </row>
    <row r="484" spans="2:5" ht="12.5">
      <c r="B484" s="47"/>
      <c r="E484" s="48"/>
    </row>
    <row r="485" spans="2:5" ht="12.5">
      <c r="B485" s="47"/>
      <c r="E485" s="48"/>
    </row>
    <row r="486" spans="2:5" ht="12.5">
      <c r="B486" s="47"/>
      <c r="E486" s="48"/>
    </row>
    <row r="487" spans="2:5" ht="12.5">
      <c r="B487" s="47"/>
      <c r="E487" s="48"/>
    </row>
    <row r="488" spans="2:5" ht="12.5">
      <c r="B488" s="47"/>
      <c r="E488" s="48"/>
    </row>
    <row r="489" spans="2:5" ht="12.5">
      <c r="B489" s="47"/>
      <c r="E489" s="48"/>
    </row>
    <row r="490" spans="2:5" ht="12.5">
      <c r="B490" s="47"/>
      <c r="E490" s="48"/>
    </row>
    <row r="491" spans="2:5" ht="12.5">
      <c r="B491" s="47"/>
      <c r="E491" s="48"/>
    </row>
    <row r="492" spans="2:5" ht="12.5">
      <c r="B492" s="47"/>
      <c r="E492" s="48"/>
    </row>
    <row r="493" spans="2:5" ht="12.5">
      <c r="B493" s="47"/>
      <c r="E493" s="48"/>
    </row>
    <row r="494" spans="2:5" ht="12.5">
      <c r="B494" s="47"/>
      <c r="E494" s="48"/>
    </row>
    <row r="495" spans="2:5" ht="12.5">
      <c r="B495" s="47"/>
      <c r="E495" s="48"/>
    </row>
    <row r="496" spans="2:5" ht="12.5">
      <c r="B496" s="47"/>
      <c r="E496" s="48"/>
    </row>
    <row r="497" spans="2:5" ht="12.5">
      <c r="B497" s="47"/>
      <c r="E497" s="48"/>
    </row>
    <row r="498" spans="2:5" ht="12.5">
      <c r="B498" s="47"/>
      <c r="E498" s="48"/>
    </row>
    <row r="499" spans="2:5" ht="12.5">
      <c r="B499" s="47"/>
      <c r="E499" s="48"/>
    </row>
    <row r="500" spans="2:5" ht="12.5">
      <c r="B500" s="47"/>
      <c r="E500" s="48"/>
    </row>
    <row r="501" spans="2:5" ht="12.5">
      <c r="B501" s="47"/>
      <c r="E501" s="48"/>
    </row>
    <row r="502" spans="2:5" ht="12.5">
      <c r="B502" s="47"/>
      <c r="E502" s="48"/>
    </row>
    <row r="503" spans="2:5" ht="12.5">
      <c r="B503" s="47"/>
      <c r="E503" s="48"/>
    </row>
    <row r="504" spans="2:5" ht="12.5">
      <c r="B504" s="47"/>
      <c r="E504" s="48"/>
    </row>
    <row r="505" spans="2:5" ht="12.5">
      <c r="B505" s="47"/>
      <c r="E505" s="48"/>
    </row>
    <row r="506" spans="2:5" ht="12.5">
      <c r="B506" s="47"/>
      <c r="E506" s="48"/>
    </row>
    <row r="507" spans="2:5" ht="12.5">
      <c r="B507" s="47"/>
      <c r="E507" s="48"/>
    </row>
    <row r="508" spans="2:5" ht="12.5">
      <c r="B508" s="47"/>
      <c r="E508" s="48"/>
    </row>
    <row r="509" spans="2:5" ht="12.5">
      <c r="B509" s="47"/>
      <c r="E509" s="48"/>
    </row>
    <row r="510" spans="2:5" ht="12.5">
      <c r="B510" s="47"/>
      <c r="E510" s="48"/>
    </row>
    <row r="511" spans="2:5" ht="12.5">
      <c r="B511" s="47"/>
      <c r="E511" s="48"/>
    </row>
    <row r="512" spans="2:5" ht="12.5">
      <c r="B512" s="47"/>
      <c r="E512" s="48"/>
    </row>
    <row r="513" spans="2:5" ht="12.5">
      <c r="B513" s="47"/>
      <c r="E513" s="48"/>
    </row>
    <row r="514" spans="2:5" ht="12.5">
      <c r="B514" s="47"/>
      <c r="E514" s="48"/>
    </row>
    <row r="515" spans="2:5" ht="12.5">
      <c r="B515" s="47"/>
      <c r="E515" s="48"/>
    </row>
    <row r="516" spans="2:5" ht="12.5">
      <c r="B516" s="47"/>
      <c r="E516" s="48"/>
    </row>
    <row r="517" spans="2:5" ht="12.5">
      <c r="B517" s="47"/>
      <c r="E517" s="48"/>
    </row>
    <row r="518" spans="2:5" ht="12.5">
      <c r="B518" s="47"/>
      <c r="E518" s="48"/>
    </row>
    <row r="519" spans="2:5" ht="12.5">
      <c r="B519" s="47"/>
      <c r="E519" s="48"/>
    </row>
    <row r="520" spans="2:5" ht="12.5">
      <c r="B520" s="47"/>
      <c r="E520" s="48"/>
    </row>
    <row r="521" spans="2:5" ht="12.5">
      <c r="B521" s="47"/>
      <c r="E521" s="48"/>
    </row>
    <row r="522" spans="2:5" ht="12.5">
      <c r="B522" s="47"/>
      <c r="E522" s="48"/>
    </row>
    <row r="523" spans="2:5" ht="12.5">
      <c r="B523" s="47"/>
      <c r="E523" s="48"/>
    </row>
    <row r="524" spans="2:5" ht="12.5">
      <c r="B524" s="47"/>
      <c r="E524" s="48"/>
    </row>
    <row r="525" spans="2:5" ht="12.5">
      <c r="B525" s="47"/>
      <c r="E525" s="48"/>
    </row>
    <row r="526" spans="2:5" ht="12.5">
      <c r="B526" s="47"/>
      <c r="E526" s="48"/>
    </row>
    <row r="527" spans="2:5" ht="12.5">
      <c r="B527" s="47"/>
      <c r="E527" s="48"/>
    </row>
    <row r="528" spans="2:5" ht="12.5">
      <c r="B528" s="47"/>
      <c r="E528" s="48"/>
    </row>
    <row r="529" spans="2:5" ht="12.5">
      <c r="B529" s="47"/>
      <c r="E529" s="48"/>
    </row>
    <row r="530" spans="2:5" ht="12.5">
      <c r="B530" s="47"/>
      <c r="E530" s="48"/>
    </row>
    <row r="531" spans="2:5" ht="12.5">
      <c r="B531" s="47"/>
      <c r="E531" s="48"/>
    </row>
    <row r="532" spans="2:5" ht="12.5">
      <c r="B532" s="47"/>
      <c r="E532" s="48"/>
    </row>
    <row r="533" spans="2:5" ht="12.5">
      <c r="B533" s="47"/>
      <c r="E533" s="48"/>
    </row>
    <row r="534" spans="2:5" ht="12.5">
      <c r="B534" s="47"/>
      <c r="E534" s="48"/>
    </row>
    <row r="535" spans="2:5" ht="12.5">
      <c r="B535" s="47"/>
      <c r="E535" s="48"/>
    </row>
    <row r="536" spans="2:5" ht="12.5">
      <c r="B536" s="47"/>
      <c r="E536" s="48"/>
    </row>
    <row r="537" spans="2:5" ht="12.5">
      <c r="B537" s="47"/>
      <c r="E537" s="48"/>
    </row>
    <row r="538" spans="2:5" ht="12.5">
      <c r="B538" s="47"/>
      <c r="E538" s="48"/>
    </row>
    <row r="539" spans="2:5" ht="12.5">
      <c r="B539" s="47"/>
      <c r="E539" s="48"/>
    </row>
    <row r="540" spans="2:5" ht="12.5">
      <c r="B540" s="47"/>
      <c r="E540" s="48"/>
    </row>
    <row r="541" spans="2:5" ht="12.5">
      <c r="B541" s="47"/>
      <c r="E541" s="48"/>
    </row>
    <row r="542" spans="2:5" ht="12.5">
      <c r="B542" s="47"/>
      <c r="E542" s="48"/>
    </row>
    <row r="543" spans="2:5" ht="12.5">
      <c r="B543" s="47"/>
      <c r="E543" s="48"/>
    </row>
    <row r="544" spans="2:5" ht="12.5">
      <c r="B544" s="47"/>
      <c r="E544" s="48"/>
    </row>
    <row r="545" spans="2:5" ht="12.5">
      <c r="B545" s="47"/>
      <c r="E545" s="48"/>
    </row>
    <row r="546" spans="2:5" ht="12.5">
      <c r="B546" s="47"/>
      <c r="E546" s="48"/>
    </row>
    <row r="547" spans="2:5" ht="12.5">
      <c r="B547" s="47"/>
      <c r="E547" s="48"/>
    </row>
    <row r="548" spans="2:5" ht="12.5">
      <c r="B548" s="47"/>
      <c r="E548" s="48"/>
    </row>
    <row r="549" spans="2:5" ht="12.5">
      <c r="B549" s="47"/>
      <c r="E549" s="48"/>
    </row>
    <row r="550" spans="2:5" ht="12.5">
      <c r="B550" s="47"/>
      <c r="E550" s="48"/>
    </row>
    <row r="551" spans="2:5" ht="12.5">
      <c r="B551" s="47"/>
      <c r="E551" s="48"/>
    </row>
    <row r="552" spans="2:5" ht="12.5">
      <c r="B552" s="47"/>
      <c r="E552" s="48"/>
    </row>
    <row r="553" spans="2:5" ht="12.5">
      <c r="B553" s="47"/>
      <c r="E553" s="48"/>
    </row>
    <row r="554" spans="2:5" ht="12.5">
      <c r="B554" s="47"/>
      <c r="E554" s="48"/>
    </row>
    <row r="555" spans="2:5" ht="12.5">
      <c r="B555" s="47"/>
      <c r="E555" s="48"/>
    </row>
    <row r="556" spans="2:5" ht="12.5">
      <c r="B556" s="47"/>
      <c r="E556" s="48"/>
    </row>
    <row r="557" spans="2:5" ht="12.5">
      <c r="B557" s="47"/>
      <c r="E557" s="48"/>
    </row>
    <row r="558" spans="2:5" ht="12.5">
      <c r="B558" s="47"/>
      <c r="E558" s="48"/>
    </row>
    <row r="559" spans="2:5" ht="12.5">
      <c r="B559" s="47"/>
      <c r="E559" s="48"/>
    </row>
    <row r="560" spans="2:5" ht="12.5">
      <c r="B560" s="47"/>
      <c r="E560" s="48"/>
    </row>
    <row r="561" spans="2:5" ht="12.5">
      <c r="B561" s="47"/>
      <c r="E561" s="48"/>
    </row>
    <row r="562" spans="2:5" ht="12.5">
      <c r="B562" s="47"/>
      <c r="E562" s="48"/>
    </row>
    <row r="563" spans="2:5" ht="12.5">
      <c r="B563" s="47"/>
      <c r="E563" s="48"/>
    </row>
    <row r="564" spans="2:5" ht="12.5">
      <c r="B564" s="47"/>
      <c r="E564" s="48"/>
    </row>
    <row r="565" spans="2:5" ht="12.5">
      <c r="B565" s="47"/>
      <c r="E565" s="48"/>
    </row>
    <row r="566" spans="2:5" ht="12.5">
      <c r="B566" s="47"/>
      <c r="E566" s="48"/>
    </row>
    <row r="567" spans="2:5" ht="12.5">
      <c r="B567" s="47"/>
      <c r="E567" s="48"/>
    </row>
    <row r="568" spans="2:5" ht="12.5">
      <c r="B568" s="47"/>
      <c r="E568" s="48"/>
    </row>
    <row r="569" spans="2:5" ht="12.5">
      <c r="B569" s="47"/>
      <c r="E569" s="48"/>
    </row>
    <row r="570" spans="2:5" ht="12.5">
      <c r="B570" s="47"/>
      <c r="E570" s="48"/>
    </row>
    <row r="571" spans="2:5" ht="12.5">
      <c r="B571" s="47"/>
      <c r="E571" s="48"/>
    </row>
    <row r="572" spans="2:5" ht="12.5">
      <c r="B572" s="47"/>
      <c r="E572" s="48"/>
    </row>
    <row r="573" spans="2:5" ht="12.5">
      <c r="B573" s="47"/>
      <c r="E573" s="48"/>
    </row>
    <row r="574" spans="2:5" ht="12.5">
      <c r="B574" s="47"/>
      <c r="E574" s="48"/>
    </row>
    <row r="575" spans="2:5" ht="12.5">
      <c r="B575" s="47"/>
      <c r="E575" s="48"/>
    </row>
    <row r="576" spans="2:5" ht="12.5">
      <c r="B576" s="47"/>
      <c r="E576" s="48"/>
    </row>
    <row r="577" spans="2:5" ht="12.5">
      <c r="B577" s="47"/>
      <c r="E577" s="48"/>
    </row>
    <row r="578" spans="2:5" ht="12.5">
      <c r="B578" s="47"/>
      <c r="E578" s="48"/>
    </row>
    <row r="579" spans="2:5" ht="12.5">
      <c r="B579" s="47"/>
      <c r="E579" s="48"/>
    </row>
    <row r="580" spans="2:5" ht="12.5">
      <c r="B580" s="47"/>
      <c r="E580" s="48"/>
    </row>
    <row r="581" spans="2:5" ht="12.5">
      <c r="B581" s="47"/>
      <c r="E581" s="48"/>
    </row>
    <row r="582" spans="2:5" ht="12.5">
      <c r="B582" s="47"/>
      <c r="E582" s="48"/>
    </row>
    <row r="583" spans="2:5" ht="12.5">
      <c r="B583" s="47"/>
      <c r="E583" s="48"/>
    </row>
    <row r="584" spans="2:5" ht="12.5">
      <c r="B584" s="47"/>
      <c r="E584" s="48"/>
    </row>
    <row r="585" spans="2:5" ht="12.5">
      <c r="B585" s="47"/>
      <c r="E585" s="48"/>
    </row>
    <row r="586" spans="2:5" ht="12.5">
      <c r="B586" s="47"/>
      <c r="E586" s="48"/>
    </row>
    <row r="587" spans="2:5" ht="12.5">
      <c r="B587" s="47"/>
      <c r="E587" s="48"/>
    </row>
    <row r="588" spans="2:5" ht="12.5">
      <c r="B588" s="47"/>
      <c r="E588" s="48"/>
    </row>
    <row r="589" spans="2:5" ht="12.5">
      <c r="B589" s="47"/>
      <c r="E589" s="48"/>
    </row>
    <row r="590" spans="2:5" ht="12.5">
      <c r="B590" s="47"/>
      <c r="E590" s="48"/>
    </row>
    <row r="591" spans="2:5" ht="12.5">
      <c r="B591" s="47"/>
      <c r="E591" s="48"/>
    </row>
    <row r="592" spans="2:5" ht="12.5">
      <c r="B592" s="47"/>
      <c r="E592" s="48"/>
    </row>
    <row r="593" spans="2:5" ht="12.5">
      <c r="B593" s="47"/>
      <c r="E593" s="48"/>
    </row>
    <row r="594" spans="2:5" ht="12.5">
      <c r="B594" s="47"/>
      <c r="E594" s="48"/>
    </row>
    <row r="595" spans="2:5" ht="12.5">
      <c r="B595" s="47"/>
      <c r="E595" s="48"/>
    </row>
    <row r="596" spans="2:5" ht="12.5">
      <c r="B596" s="47"/>
      <c r="E596" s="48"/>
    </row>
    <row r="597" spans="2:5" ht="12.5">
      <c r="B597" s="47"/>
      <c r="E597" s="48"/>
    </row>
    <row r="598" spans="2:5" ht="12.5">
      <c r="B598" s="47"/>
      <c r="E598" s="48"/>
    </row>
    <row r="599" spans="2:5" ht="12.5">
      <c r="B599" s="47"/>
      <c r="E599" s="48"/>
    </row>
    <row r="600" spans="2:5" ht="12.5">
      <c r="B600" s="47"/>
      <c r="E600" s="48"/>
    </row>
    <row r="601" spans="2:5" ht="12.5">
      <c r="B601" s="47"/>
      <c r="E601" s="48"/>
    </row>
    <row r="602" spans="2:5" ht="12.5">
      <c r="B602" s="47"/>
      <c r="E602" s="48"/>
    </row>
    <row r="603" spans="2:5" ht="12.5">
      <c r="B603" s="47"/>
      <c r="E603" s="48"/>
    </row>
    <row r="604" spans="2:5" ht="12.5">
      <c r="B604" s="47"/>
      <c r="E604" s="48"/>
    </row>
    <row r="605" spans="2:5" ht="12.5">
      <c r="B605" s="47"/>
      <c r="E605" s="48"/>
    </row>
    <row r="606" spans="2:5" ht="12.5">
      <c r="B606" s="47"/>
      <c r="E606" s="48"/>
    </row>
    <row r="607" spans="2:5" ht="12.5">
      <c r="B607" s="47"/>
      <c r="E607" s="48"/>
    </row>
    <row r="608" spans="2:5" ht="12.5">
      <c r="B608" s="47"/>
      <c r="E608" s="48"/>
    </row>
    <row r="609" spans="2:5" ht="12.5">
      <c r="B609" s="47"/>
      <c r="E609" s="48"/>
    </row>
    <row r="610" spans="2:5" ht="12.5">
      <c r="B610" s="47"/>
      <c r="E610" s="48"/>
    </row>
    <row r="611" spans="2:5" ht="12.5">
      <c r="B611" s="47"/>
      <c r="E611" s="48"/>
    </row>
    <row r="612" spans="2:5" ht="12.5">
      <c r="B612" s="47"/>
      <c r="E612" s="48"/>
    </row>
    <row r="613" spans="2:5" ht="12.5">
      <c r="B613" s="47"/>
      <c r="E613" s="48"/>
    </row>
    <row r="614" spans="2:5" ht="12.5">
      <c r="B614" s="47"/>
      <c r="E614" s="48"/>
    </row>
    <row r="615" spans="2:5" ht="12.5">
      <c r="B615" s="47"/>
      <c r="E615" s="48"/>
    </row>
    <row r="616" spans="2:5" ht="12.5">
      <c r="B616" s="47"/>
      <c r="E616" s="48"/>
    </row>
    <row r="617" spans="2:5" ht="12.5">
      <c r="B617" s="47"/>
      <c r="E617" s="48"/>
    </row>
    <row r="618" spans="2:5" ht="12.5">
      <c r="B618" s="47"/>
      <c r="E618" s="48"/>
    </row>
    <row r="619" spans="2:5" ht="12.5">
      <c r="B619" s="47"/>
      <c r="E619" s="48"/>
    </row>
    <row r="620" spans="2:5" ht="12.5">
      <c r="B620" s="47"/>
      <c r="E620" s="48"/>
    </row>
    <row r="621" spans="2:5" ht="12.5">
      <c r="B621" s="47"/>
      <c r="E621" s="48"/>
    </row>
    <row r="622" spans="2:5" ht="12.5">
      <c r="B622" s="47"/>
      <c r="E622" s="48"/>
    </row>
    <row r="623" spans="2:5" ht="12.5">
      <c r="B623" s="47"/>
      <c r="E623" s="48"/>
    </row>
    <row r="624" spans="2:5" ht="12.5">
      <c r="B624" s="47"/>
      <c r="E624" s="48"/>
    </row>
    <row r="625" spans="2:5" ht="12.5">
      <c r="B625" s="47"/>
      <c r="E625" s="48"/>
    </row>
    <row r="626" spans="2:5" ht="12.5">
      <c r="B626" s="47"/>
      <c r="E626" s="48"/>
    </row>
    <row r="627" spans="2:5" ht="12.5">
      <c r="B627" s="47"/>
      <c r="E627" s="48"/>
    </row>
    <row r="628" spans="2:5" ht="12.5">
      <c r="B628" s="47"/>
      <c r="E628" s="48"/>
    </row>
    <row r="629" spans="2:5" ht="12.5">
      <c r="B629" s="47"/>
      <c r="E629" s="48"/>
    </row>
    <row r="630" spans="2:5" ht="12.5">
      <c r="B630" s="47"/>
      <c r="E630" s="48"/>
    </row>
    <row r="631" spans="2:5" ht="12.5">
      <c r="B631" s="47"/>
      <c r="E631" s="48"/>
    </row>
    <row r="632" spans="2:5" ht="12.5">
      <c r="B632" s="47"/>
      <c r="E632" s="48"/>
    </row>
    <row r="633" spans="2:5" ht="12.5">
      <c r="B633" s="47"/>
      <c r="E633" s="48"/>
    </row>
    <row r="634" spans="2:5" ht="12.5">
      <c r="B634" s="47"/>
      <c r="E634" s="48"/>
    </row>
    <row r="635" spans="2:5" ht="12.5">
      <c r="B635" s="47"/>
      <c r="E635" s="48"/>
    </row>
    <row r="636" spans="2:5" ht="12.5">
      <c r="B636" s="47"/>
      <c r="E636" s="48"/>
    </row>
    <row r="637" spans="2:5" ht="12.5">
      <c r="B637" s="47"/>
      <c r="E637" s="48"/>
    </row>
    <row r="638" spans="2:5" ht="12.5">
      <c r="B638" s="47"/>
      <c r="E638" s="48"/>
    </row>
    <row r="639" spans="2:5" ht="12.5">
      <c r="B639" s="47"/>
      <c r="E639" s="48"/>
    </row>
    <row r="640" spans="2:5" ht="12.5">
      <c r="B640" s="47"/>
      <c r="E640" s="48"/>
    </row>
    <row r="641" spans="2:5" ht="12.5">
      <c r="B641" s="47"/>
      <c r="E641" s="48"/>
    </row>
    <row r="642" spans="2:5" ht="12.5">
      <c r="B642" s="47"/>
      <c r="E642" s="48"/>
    </row>
    <row r="643" spans="2:5" ht="12.5">
      <c r="B643" s="47"/>
      <c r="E643" s="48"/>
    </row>
    <row r="644" spans="2:5" ht="12.5">
      <c r="B644" s="47"/>
      <c r="E644" s="48"/>
    </row>
    <row r="645" spans="2:5" ht="12.5">
      <c r="B645" s="47"/>
      <c r="E645" s="48"/>
    </row>
    <row r="646" spans="2:5" ht="12.5">
      <c r="B646" s="47"/>
      <c r="E646" s="48"/>
    </row>
    <row r="647" spans="2:5" ht="12.5">
      <c r="B647" s="47"/>
      <c r="E647" s="48"/>
    </row>
    <row r="648" spans="2:5" ht="12.5">
      <c r="B648" s="47"/>
      <c r="E648" s="48"/>
    </row>
    <row r="649" spans="2:5" ht="12.5">
      <c r="B649" s="47"/>
      <c r="E649" s="48"/>
    </row>
    <row r="650" spans="2:5" ht="12.5">
      <c r="B650" s="47"/>
      <c r="E650" s="48"/>
    </row>
    <row r="651" spans="2:5" ht="12.5">
      <c r="B651" s="47"/>
      <c r="E651" s="48"/>
    </row>
    <row r="652" spans="2:5" ht="12.5">
      <c r="B652" s="47"/>
      <c r="E652" s="48"/>
    </row>
    <row r="653" spans="2:5" ht="12.5">
      <c r="B653" s="47"/>
      <c r="E653" s="48"/>
    </row>
    <row r="654" spans="2:5" ht="12.5">
      <c r="B654" s="47"/>
      <c r="E654" s="48"/>
    </row>
    <row r="655" spans="2:5" ht="12.5">
      <c r="B655" s="47"/>
      <c r="E655" s="48"/>
    </row>
    <row r="656" spans="2:5" ht="12.5">
      <c r="B656" s="47"/>
      <c r="E656" s="48"/>
    </row>
    <row r="657" spans="2:5" ht="12.5">
      <c r="B657" s="47"/>
      <c r="E657" s="48"/>
    </row>
    <row r="658" spans="2:5" ht="12.5">
      <c r="B658" s="47"/>
      <c r="E658" s="48"/>
    </row>
    <row r="659" spans="2:5" ht="12.5">
      <c r="B659" s="47"/>
      <c r="E659" s="48"/>
    </row>
    <row r="660" spans="2:5" ht="12.5">
      <c r="B660" s="47"/>
      <c r="E660" s="48"/>
    </row>
    <row r="661" spans="2:5" ht="12.5">
      <c r="B661" s="47"/>
      <c r="E661" s="48"/>
    </row>
    <row r="662" spans="2:5" ht="12.5">
      <c r="B662" s="47"/>
      <c r="E662" s="48"/>
    </row>
    <row r="663" spans="2:5" ht="12.5">
      <c r="B663" s="47"/>
      <c r="E663" s="48"/>
    </row>
    <row r="664" spans="2:5" ht="12.5">
      <c r="B664" s="47"/>
      <c r="E664" s="48"/>
    </row>
    <row r="665" spans="2:5" ht="12.5">
      <c r="B665" s="47"/>
      <c r="E665" s="48"/>
    </row>
    <row r="666" spans="2:5" ht="12.5">
      <c r="B666" s="47"/>
      <c r="E666" s="48"/>
    </row>
    <row r="667" spans="2:5" ht="12.5">
      <c r="B667" s="47"/>
      <c r="E667" s="48"/>
    </row>
    <row r="668" spans="2:5" ht="12.5">
      <c r="B668" s="47"/>
      <c r="E668" s="48"/>
    </row>
    <row r="669" spans="2:5" ht="12.5">
      <c r="B669" s="47"/>
      <c r="E669" s="48"/>
    </row>
    <row r="670" spans="2:5" ht="12.5">
      <c r="B670" s="47"/>
      <c r="E670" s="48"/>
    </row>
    <row r="671" spans="2:5" ht="12.5">
      <c r="B671" s="47"/>
      <c r="E671" s="48"/>
    </row>
    <row r="672" spans="2:5" ht="12.5">
      <c r="B672" s="47"/>
      <c r="E672" s="48"/>
    </row>
    <row r="673" spans="2:5" ht="12.5">
      <c r="B673" s="47"/>
      <c r="E673" s="48"/>
    </row>
    <row r="674" spans="2:5" ht="12.5">
      <c r="B674" s="47"/>
      <c r="E674" s="48"/>
    </row>
    <row r="675" spans="2:5" ht="12.5">
      <c r="B675" s="47"/>
      <c r="E675" s="48"/>
    </row>
    <row r="676" spans="2:5" ht="12.5">
      <c r="B676" s="47"/>
      <c r="E676" s="48"/>
    </row>
    <row r="677" spans="2:5" ht="12.5">
      <c r="B677" s="47"/>
      <c r="E677" s="48"/>
    </row>
    <row r="678" spans="2:5" ht="12.5">
      <c r="B678" s="47"/>
      <c r="E678" s="48"/>
    </row>
    <row r="679" spans="2:5" ht="12.5">
      <c r="B679" s="47"/>
      <c r="E679" s="48"/>
    </row>
    <row r="680" spans="2:5" ht="12.5">
      <c r="B680" s="47"/>
      <c r="E680" s="48"/>
    </row>
    <row r="681" spans="2:5" ht="12.5">
      <c r="B681" s="47"/>
      <c r="E681" s="48"/>
    </row>
    <row r="682" spans="2:5" ht="12.5">
      <c r="B682" s="47"/>
      <c r="E682" s="48"/>
    </row>
    <row r="683" spans="2:5" ht="12.5">
      <c r="B683" s="47"/>
      <c r="E683" s="48"/>
    </row>
    <row r="684" spans="2:5" ht="12.5">
      <c r="B684" s="47"/>
      <c r="E684" s="48"/>
    </row>
    <row r="685" spans="2:5" ht="12.5">
      <c r="B685" s="47"/>
      <c r="E685" s="48"/>
    </row>
    <row r="686" spans="2:5" ht="12.5">
      <c r="B686" s="47"/>
      <c r="E686" s="48"/>
    </row>
    <row r="687" spans="2:5" ht="12.5">
      <c r="B687" s="47"/>
      <c r="E687" s="48"/>
    </row>
    <row r="688" spans="2:5" ht="12.5">
      <c r="B688" s="47"/>
      <c r="E688" s="48"/>
    </row>
    <row r="689" spans="2:5" ht="12.5">
      <c r="B689" s="47"/>
      <c r="E689" s="48"/>
    </row>
    <row r="690" spans="2:5" ht="12.5">
      <c r="B690" s="47"/>
      <c r="E690" s="48"/>
    </row>
    <row r="691" spans="2:5" ht="12.5">
      <c r="B691" s="47"/>
      <c r="E691" s="48"/>
    </row>
    <row r="692" spans="2:5" ht="12.5">
      <c r="B692" s="47"/>
      <c r="E692" s="48"/>
    </row>
    <row r="693" spans="2:5" ht="12.5">
      <c r="B693" s="47"/>
      <c r="E693" s="48"/>
    </row>
    <row r="694" spans="2:5" ht="12.5">
      <c r="B694" s="47"/>
      <c r="E694" s="48"/>
    </row>
    <row r="695" spans="2:5" ht="12.5">
      <c r="B695" s="47"/>
      <c r="E695" s="48"/>
    </row>
    <row r="696" spans="2:5" ht="12.5">
      <c r="B696" s="47"/>
      <c r="E696" s="48"/>
    </row>
    <row r="697" spans="2:5" ht="12.5">
      <c r="B697" s="47"/>
      <c r="E697" s="48"/>
    </row>
    <row r="698" spans="2:5" ht="12.5">
      <c r="B698" s="47"/>
      <c r="E698" s="48"/>
    </row>
    <row r="699" spans="2:5" ht="12.5">
      <c r="B699" s="47"/>
      <c r="E699" s="48"/>
    </row>
    <row r="700" spans="2:5" ht="12.5">
      <c r="B700" s="47"/>
      <c r="E700" s="48"/>
    </row>
    <row r="701" spans="2:5" ht="12.5">
      <c r="B701" s="47"/>
      <c r="E701" s="48"/>
    </row>
    <row r="702" spans="2:5" ht="12.5">
      <c r="B702" s="47"/>
      <c r="E702" s="48"/>
    </row>
    <row r="703" spans="2:5" ht="12.5">
      <c r="B703" s="47"/>
      <c r="E703" s="48"/>
    </row>
    <row r="704" spans="2:5" ht="12.5">
      <c r="B704" s="47"/>
      <c r="E704" s="48"/>
    </row>
    <row r="705" spans="2:5" ht="12.5">
      <c r="B705" s="47"/>
      <c r="E705" s="48"/>
    </row>
    <row r="706" spans="2:5" ht="12.5">
      <c r="B706" s="47"/>
      <c r="E706" s="48"/>
    </row>
    <row r="707" spans="2:5" ht="12.5">
      <c r="B707" s="47"/>
      <c r="E707" s="48"/>
    </row>
    <row r="708" spans="2:5" ht="12.5">
      <c r="B708" s="47"/>
      <c r="E708" s="48"/>
    </row>
    <row r="709" spans="2:5" ht="12.5">
      <c r="B709" s="47"/>
      <c r="E709" s="48"/>
    </row>
    <row r="710" spans="2:5" ht="12.5">
      <c r="B710" s="47"/>
      <c r="E710" s="48"/>
    </row>
    <row r="711" spans="2:5" ht="12.5">
      <c r="B711" s="47"/>
      <c r="E711" s="48"/>
    </row>
    <row r="712" spans="2:5" ht="12.5">
      <c r="B712" s="47"/>
      <c r="E712" s="48"/>
    </row>
    <row r="713" spans="2:5" ht="12.5">
      <c r="B713" s="47"/>
      <c r="E713" s="48"/>
    </row>
    <row r="714" spans="2:5" ht="12.5">
      <c r="B714" s="47"/>
      <c r="E714" s="48"/>
    </row>
    <row r="715" spans="2:5" ht="12.5">
      <c r="B715" s="47"/>
      <c r="E715" s="48"/>
    </row>
    <row r="716" spans="2:5" ht="12.5">
      <c r="B716" s="47"/>
      <c r="E716" s="48"/>
    </row>
    <row r="717" spans="2:5" ht="12.5">
      <c r="B717" s="47"/>
      <c r="E717" s="48"/>
    </row>
    <row r="718" spans="2:5" ht="12.5">
      <c r="B718" s="47"/>
      <c r="E718" s="48"/>
    </row>
    <row r="719" spans="2:5" ht="12.5">
      <c r="B719" s="47"/>
      <c r="E719" s="48"/>
    </row>
    <row r="720" spans="2:5" ht="12.5">
      <c r="B720" s="47"/>
      <c r="E720" s="48"/>
    </row>
    <row r="721" spans="2:5" ht="12.5">
      <c r="B721" s="47"/>
      <c r="E721" s="48"/>
    </row>
    <row r="722" spans="2:5" ht="12.5">
      <c r="B722" s="47"/>
      <c r="E722" s="48"/>
    </row>
    <row r="723" spans="2:5" ht="12.5">
      <c r="B723" s="47"/>
      <c r="E723" s="48"/>
    </row>
    <row r="724" spans="2:5" ht="12.5">
      <c r="B724" s="47"/>
      <c r="E724" s="48"/>
    </row>
    <row r="725" spans="2:5" ht="12.5">
      <c r="B725" s="47"/>
      <c r="E725" s="48"/>
    </row>
    <row r="726" spans="2:5" ht="12.5">
      <c r="B726" s="47"/>
      <c r="E726" s="48"/>
    </row>
    <row r="727" spans="2:5" ht="12.5">
      <c r="B727" s="47"/>
      <c r="E727" s="48"/>
    </row>
    <row r="728" spans="2:5" ht="12.5">
      <c r="B728" s="47"/>
      <c r="E728" s="48"/>
    </row>
    <row r="729" spans="2:5" ht="12.5">
      <c r="B729" s="47"/>
      <c r="E729" s="48"/>
    </row>
    <row r="730" spans="2:5" ht="12.5">
      <c r="B730" s="47"/>
      <c r="E730" s="48"/>
    </row>
    <row r="731" spans="2:5" ht="12.5">
      <c r="B731" s="47"/>
      <c r="E731" s="48"/>
    </row>
    <row r="732" spans="2:5" ht="12.5">
      <c r="B732" s="47"/>
      <c r="E732" s="48"/>
    </row>
    <row r="733" spans="2:5" ht="12.5">
      <c r="B733" s="47"/>
      <c r="E733" s="48"/>
    </row>
    <row r="734" spans="2:5" ht="12.5">
      <c r="B734" s="47"/>
      <c r="E734" s="48"/>
    </row>
    <row r="735" spans="2:5" ht="12.5">
      <c r="B735" s="47"/>
      <c r="E735" s="48"/>
    </row>
    <row r="736" spans="2:5" ht="12.5">
      <c r="B736" s="47"/>
      <c r="E736" s="48"/>
    </row>
    <row r="737" spans="2:5" ht="12.5">
      <c r="B737" s="47"/>
      <c r="E737" s="48"/>
    </row>
    <row r="738" spans="2:5" ht="12.5">
      <c r="B738" s="47"/>
      <c r="E738" s="48"/>
    </row>
    <row r="739" spans="2:5" ht="12.5">
      <c r="B739" s="47"/>
      <c r="E739" s="48"/>
    </row>
    <row r="740" spans="2:5" ht="12.5">
      <c r="B740" s="47"/>
      <c r="E740" s="48"/>
    </row>
    <row r="741" spans="2:5" ht="12.5">
      <c r="B741" s="47"/>
      <c r="E741" s="48"/>
    </row>
    <row r="742" spans="2:5" ht="12.5">
      <c r="B742" s="47"/>
      <c r="E742" s="48"/>
    </row>
    <row r="743" spans="2:5" ht="12.5">
      <c r="B743" s="47"/>
      <c r="E743" s="48"/>
    </row>
    <row r="744" spans="2:5" ht="12.5">
      <c r="B744" s="47"/>
      <c r="E744" s="48"/>
    </row>
    <row r="745" spans="2:5" ht="12.5">
      <c r="B745" s="47"/>
      <c r="E745" s="48"/>
    </row>
    <row r="746" spans="2:5" ht="12.5">
      <c r="B746" s="47"/>
      <c r="E746" s="48"/>
    </row>
    <row r="747" spans="2:5" ht="12.5">
      <c r="B747" s="47"/>
      <c r="E747" s="48"/>
    </row>
    <row r="748" spans="2:5" ht="12.5">
      <c r="B748" s="47"/>
      <c r="E748" s="48"/>
    </row>
    <row r="749" spans="2:5" ht="12.5">
      <c r="B749" s="47"/>
      <c r="E749" s="48"/>
    </row>
    <row r="750" spans="2:5" ht="12.5">
      <c r="B750" s="47"/>
      <c r="E750" s="48"/>
    </row>
    <row r="751" spans="2:5" ht="12.5">
      <c r="B751" s="47"/>
      <c r="E751" s="48"/>
    </row>
    <row r="752" spans="2:5" ht="12.5">
      <c r="B752" s="47"/>
      <c r="E752" s="48"/>
    </row>
    <row r="753" spans="2:5" ht="12.5">
      <c r="B753" s="47"/>
      <c r="E753" s="48"/>
    </row>
    <row r="754" spans="2:5" ht="12.5">
      <c r="B754" s="47"/>
      <c r="E754" s="48"/>
    </row>
    <row r="755" spans="2:5" ht="12.5">
      <c r="B755" s="47"/>
      <c r="E755" s="48"/>
    </row>
    <row r="756" spans="2:5" ht="12.5">
      <c r="B756" s="47"/>
      <c r="E756" s="48"/>
    </row>
    <row r="757" spans="2:5" ht="12.5">
      <c r="B757" s="47"/>
      <c r="E757" s="48"/>
    </row>
    <row r="758" spans="2:5" ht="12.5">
      <c r="B758" s="47"/>
      <c r="E758" s="48"/>
    </row>
    <row r="759" spans="2:5" ht="12.5">
      <c r="B759" s="47"/>
      <c r="E759" s="48"/>
    </row>
    <row r="760" spans="2:5" ht="12.5">
      <c r="B760" s="47"/>
      <c r="E760" s="48"/>
    </row>
    <row r="761" spans="2:5" ht="12.5">
      <c r="B761" s="47"/>
      <c r="E761" s="48"/>
    </row>
    <row r="762" spans="2:5" ht="12.5">
      <c r="B762" s="47"/>
      <c r="E762" s="48"/>
    </row>
    <row r="763" spans="2:5" ht="12.5">
      <c r="B763" s="47"/>
      <c r="E763" s="48"/>
    </row>
    <row r="764" spans="2:5" ht="12.5">
      <c r="B764" s="47"/>
      <c r="E764" s="48"/>
    </row>
    <row r="765" spans="2:5" ht="12.5">
      <c r="B765" s="47"/>
      <c r="E765" s="48"/>
    </row>
    <row r="766" spans="2:5" ht="12.5">
      <c r="B766" s="47"/>
      <c r="E766" s="48"/>
    </row>
    <row r="767" spans="2:5" ht="12.5">
      <c r="B767" s="47"/>
      <c r="E767" s="48"/>
    </row>
    <row r="768" spans="2:5" ht="12.5">
      <c r="B768" s="47"/>
      <c r="E768" s="48"/>
    </row>
    <row r="769" spans="2:5" ht="12.5">
      <c r="B769" s="47"/>
      <c r="E769" s="48"/>
    </row>
    <row r="770" spans="2:5" ht="12.5">
      <c r="B770" s="47"/>
      <c r="E770" s="48"/>
    </row>
    <row r="771" spans="2:5" ht="12.5">
      <c r="B771" s="47"/>
      <c r="E771" s="48"/>
    </row>
    <row r="772" spans="2:5" ht="12.5">
      <c r="B772" s="47"/>
      <c r="E772" s="48"/>
    </row>
    <row r="773" spans="2:5" ht="12.5">
      <c r="B773" s="47"/>
      <c r="E773" s="48"/>
    </row>
    <row r="774" spans="2:5" ht="12.5">
      <c r="B774" s="47"/>
      <c r="E774" s="48"/>
    </row>
    <row r="775" spans="2:5" ht="12.5">
      <c r="B775" s="47"/>
      <c r="E775" s="48"/>
    </row>
    <row r="776" spans="2:5" ht="12.5">
      <c r="B776" s="47"/>
      <c r="E776" s="48"/>
    </row>
    <row r="777" spans="2:5" ht="12.5">
      <c r="B777" s="47"/>
      <c r="E777" s="48"/>
    </row>
    <row r="778" spans="2:5" ht="12.5">
      <c r="B778" s="47"/>
      <c r="E778" s="48"/>
    </row>
    <row r="779" spans="2:5" ht="12.5">
      <c r="B779" s="47"/>
      <c r="E779" s="48"/>
    </row>
    <row r="780" spans="2:5" ht="12.5">
      <c r="B780" s="47"/>
      <c r="E780" s="48"/>
    </row>
    <row r="781" spans="2:5" ht="12.5">
      <c r="B781" s="47"/>
      <c r="E781" s="48"/>
    </row>
    <row r="782" spans="2:5" ht="12.5">
      <c r="B782" s="47"/>
      <c r="E782" s="48"/>
    </row>
    <row r="783" spans="2:5" ht="12.5">
      <c r="B783" s="47"/>
      <c r="E783" s="48"/>
    </row>
    <row r="784" spans="2:5" ht="12.5">
      <c r="B784" s="47"/>
      <c r="E784" s="48"/>
    </row>
    <row r="785" spans="2:5" ht="12.5">
      <c r="B785" s="47"/>
      <c r="E785" s="48"/>
    </row>
    <row r="786" spans="2:5" ht="12.5">
      <c r="B786" s="47"/>
      <c r="E786" s="48"/>
    </row>
    <row r="787" spans="2:5" ht="12.5">
      <c r="B787" s="47"/>
      <c r="E787" s="48"/>
    </row>
    <row r="788" spans="2:5" ht="12.5">
      <c r="B788" s="47"/>
      <c r="E788" s="48"/>
    </row>
    <row r="789" spans="2:5" ht="12.5">
      <c r="B789" s="47"/>
      <c r="E789" s="48"/>
    </row>
    <row r="790" spans="2:5" ht="12.5">
      <c r="B790" s="47"/>
      <c r="E790" s="48"/>
    </row>
    <row r="791" spans="2:5" ht="12.5">
      <c r="B791" s="47"/>
      <c r="E791" s="48"/>
    </row>
    <row r="792" spans="2:5" ht="12.5">
      <c r="B792" s="47"/>
      <c r="E792" s="48"/>
    </row>
    <row r="793" spans="2:5" ht="12.5">
      <c r="B793" s="47"/>
      <c r="E793" s="48"/>
    </row>
    <row r="794" spans="2:5" ht="12.5">
      <c r="B794" s="47"/>
      <c r="E794" s="48"/>
    </row>
    <row r="795" spans="2:5" ht="12.5">
      <c r="B795" s="47"/>
      <c r="E795" s="48"/>
    </row>
    <row r="796" spans="2:5" ht="12.5">
      <c r="B796" s="47"/>
      <c r="E796" s="48"/>
    </row>
    <row r="797" spans="2:5" ht="12.5">
      <c r="B797" s="47"/>
      <c r="E797" s="48"/>
    </row>
    <row r="798" spans="2:5" ht="12.5">
      <c r="B798" s="47"/>
      <c r="E798" s="48"/>
    </row>
    <row r="799" spans="2:5" ht="12.5">
      <c r="B799" s="47"/>
      <c r="E799" s="48"/>
    </row>
    <row r="800" spans="2:5" ht="12.5">
      <c r="B800" s="47"/>
      <c r="E800" s="48"/>
    </row>
    <row r="801" spans="2:5" ht="12.5">
      <c r="B801" s="47"/>
      <c r="E801" s="48"/>
    </row>
    <row r="802" spans="2:5" ht="12.5">
      <c r="B802" s="47"/>
      <c r="E802" s="48"/>
    </row>
    <row r="803" spans="2:5" ht="12.5">
      <c r="B803" s="47"/>
      <c r="E803" s="48"/>
    </row>
    <row r="804" spans="2:5" ht="12.5">
      <c r="B804" s="47"/>
      <c r="E804" s="48"/>
    </row>
    <row r="805" spans="2:5" ht="12.5">
      <c r="B805" s="47"/>
      <c r="E805" s="48"/>
    </row>
    <row r="806" spans="2:5" ht="12.5">
      <c r="B806" s="47"/>
      <c r="E806" s="48"/>
    </row>
    <row r="807" spans="2:5" ht="12.5">
      <c r="B807" s="47"/>
      <c r="E807" s="48"/>
    </row>
    <row r="808" spans="2:5" ht="12.5">
      <c r="B808" s="47"/>
      <c r="E808" s="48"/>
    </row>
    <row r="809" spans="2:5" ht="12.5">
      <c r="B809" s="47"/>
      <c r="E809" s="48"/>
    </row>
    <row r="810" spans="2:5" ht="12.5">
      <c r="B810" s="47"/>
      <c r="E810" s="48"/>
    </row>
    <row r="811" spans="2:5" ht="12.5">
      <c r="B811" s="47"/>
      <c r="E811" s="48"/>
    </row>
    <row r="812" spans="2:5" ht="12.5">
      <c r="B812" s="47"/>
      <c r="E812" s="48"/>
    </row>
    <row r="813" spans="2:5" ht="12.5">
      <c r="B813" s="47"/>
      <c r="E813" s="48"/>
    </row>
    <row r="814" spans="2:5" ht="12.5">
      <c r="B814" s="47"/>
      <c r="E814" s="48"/>
    </row>
    <row r="815" spans="2:5" ht="12.5">
      <c r="B815" s="47"/>
      <c r="E815" s="48"/>
    </row>
    <row r="816" spans="2:5" ht="12.5">
      <c r="B816" s="47"/>
      <c r="E816" s="48"/>
    </row>
    <row r="817" spans="2:5" ht="12.5">
      <c r="B817" s="47"/>
      <c r="E817" s="48"/>
    </row>
    <row r="818" spans="2:5" ht="12.5">
      <c r="B818" s="47"/>
      <c r="E818" s="48"/>
    </row>
    <row r="819" spans="2:5" ht="12.5">
      <c r="B819" s="47"/>
      <c r="E819" s="48"/>
    </row>
    <row r="820" spans="2:5" ht="12.5">
      <c r="B820" s="47"/>
      <c r="E820" s="48"/>
    </row>
    <row r="821" spans="2:5" ht="12.5">
      <c r="B821" s="47"/>
      <c r="E821" s="48"/>
    </row>
    <row r="822" spans="2:5" ht="12.5">
      <c r="B822" s="47"/>
      <c r="E822" s="48"/>
    </row>
    <row r="823" spans="2:5" ht="12.5">
      <c r="B823" s="47"/>
      <c r="E823" s="48"/>
    </row>
    <row r="824" spans="2:5" ht="12.5">
      <c r="B824" s="47"/>
      <c r="E824" s="48"/>
    </row>
    <row r="825" spans="2:5" ht="12.5">
      <c r="B825" s="47"/>
      <c r="E825" s="48"/>
    </row>
    <row r="826" spans="2:5" ht="12.5">
      <c r="B826" s="47"/>
      <c r="E826" s="48"/>
    </row>
    <row r="827" spans="2:5" ht="12.5">
      <c r="B827" s="47"/>
      <c r="E827" s="48"/>
    </row>
    <row r="828" spans="2:5" ht="12.5">
      <c r="B828" s="47"/>
      <c r="E828" s="48"/>
    </row>
    <row r="829" spans="2:5" ht="12.5">
      <c r="B829" s="47"/>
      <c r="E829" s="48"/>
    </row>
    <row r="830" spans="2:5" ht="12.5">
      <c r="B830" s="47"/>
      <c r="E830" s="48"/>
    </row>
    <row r="831" spans="2:5" ht="12.5">
      <c r="B831" s="47"/>
      <c r="E831" s="48"/>
    </row>
    <row r="832" spans="2:5" ht="12.5">
      <c r="B832" s="47"/>
      <c r="E832" s="48"/>
    </row>
    <row r="833" spans="2:5" ht="12.5">
      <c r="B833" s="47"/>
      <c r="E833" s="48"/>
    </row>
    <row r="834" spans="2:5" ht="12.5">
      <c r="B834" s="47"/>
      <c r="E834" s="48"/>
    </row>
    <row r="835" spans="2:5" ht="12.5">
      <c r="B835" s="47"/>
      <c r="E835" s="48"/>
    </row>
    <row r="836" spans="2:5" ht="12.5">
      <c r="B836" s="47"/>
      <c r="E836" s="48"/>
    </row>
    <row r="837" spans="2:5" ht="12.5">
      <c r="B837" s="47"/>
      <c r="E837" s="48"/>
    </row>
    <row r="838" spans="2:5" ht="12.5">
      <c r="B838" s="47"/>
      <c r="E838" s="48"/>
    </row>
    <row r="839" spans="2:5" ht="12.5">
      <c r="B839" s="47"/>
      <c r="E839" s="48"/>
    </row>
    <row r="840" spans="2:5" ht="12.5">
      <c r="B840" s="47"/>
      <c r="E840" s="48"/>
    </row>
    <row r="841" spans="2:5" ht="12.5">
      <c r="B841" s="47"/>
      <c r="E841" s="48"/>
    </row>
    <row r="842" spans="2:5" ht="12.5">
      <c r="B842" s="47"/>
      <c r="E842" s="48"/>
    </row>
    <row r="843" spans="2:5" ht="12.5">
      <c r="B843" s="47"/>
      <c r="E843" s="48"/>
    </row>
    <row r="844" spans="2:5" ht="12.5">
      <c r="B844" s="47"/>
      <c r="E844" s="48"/>
    </row>
    <row r="845" spans="2:5" ht="12.5">
      <c r="B845" s="47"/>
      <c r="E845" s="48"/>
    </row>
    <row r="846" spans="2:5" ht="12.5">
      <c r="B846" s="47"/>
      <c r="E846" s="48"/>
    </row>
    <row r="847" spans="2:5" ht="12.5">
      <c r="B847" s="47"/>
      <c r="E847" s="48"/>
    </row>
    <row r="848" spans="2:5" ht="12.5">
      <c r="B848" s="47"/>
      <c r="E848" s="48"/>
    </row>
    <row r="849" spans="2:5" ht="12.5">
      <c r="B849" s="47"/>
      <c r="E849" s="48"/>
    </row>
    <row r="850" spans="2:5" ht="12.5">
      <c r="B850" s="47"/>
      <c r="E850" s="48"/>
    </row>
    <row r="851" spans="2:5" ht="12.5">
      <c r="B851" s="47"/>
      <c r="E851" s="48"/>
    </row>
    <row r="852" spans="2:5" ht="12.5">
      <c r="B852" s="47"/>
      <c r="E852" s="48"/>
    </row>
    <row r="853" spans="2:5" ht="12.5">
      <c r="B853" s="47"/>
      <c r="E853" s="48"/>
    </row>
    <row r="854" spans="2:5" ht="12.5">
      <c r="B854" s="47"/>
      <c r="E854" s="48"/>
    </row>
    <row r="855" spans="2:5" ht="12.5">
      <c r="B855" s="47"/>
      <c r="E855" s="48"/>
    </row>
    <row r="856" spans="2:5" ht="12.5">
      <c r="B856" s="47"/>
      <c r="E856" s="48"/>
    </row>
    <row r="857" spans="2:5" ht="12.5">
      <c r="B857" s="47"/>
      <c r="E857" s="48"/>
    </row>
    <row r="858" spans="2:5" ht="12.5">
      <c r="B858" s="47"/>
      <c r="E858" s="48"/>
    </row>
    <row r="859" spans="2:5" ht="12.5">
      <c r="B859" s="47"/>
      <c r="E859" s="48"/>
    </row>
    <row r="860" spans="2:5" ht="12.5">
      <c r="B860" s="47"/>
      <c r="E860" s="48"/>
    </row>
    <row r="861" spans="2:5" ht="12.5">
      <c r="B861" s="47"/>
      <c r="E861" s="48"/>
    </row>
    <row r="862" spans="2:5" ht="12.5">
      <c r="B862" s="47"/>
      <c r="E862" s="48"/>
    </row>
    <row r="863" spans="2:5" ht="12.5">
      <c r="B863" s="47"/>
      <c r="E863" s="48"/>
    </row>
    <row r="864" spans="2:5" ht="12.5">
      <c r="B864" s="47"/>
      <c r="E864" s="48"/>
    </row>
    <row r="865" spans="2:5" ht="12.5">
      <c r="B865" s="47"/>
      <c r="E865" s="48"/>
    </row>
    <row r="866" spans="2:5" ht="12.5">
      <c r="B866" s="47"/>
      <c r="E866" s="48"/>
    </row>
    <row r="867" spans="2:5" ht="12.5">
      <c r="B867" s="47"/>
      <c r="E867" s="48"/>
    </row>
    <row r="868" spans="2:5" ht="12.5">
      <c r="B868" s="47"/>
      <c r="E868" s="48"/>
    </row>
    <row r="869" spans="2:5" ht="12.5">
      <c r="B869" s="47"/>
      <c r="E869" s="48"/>
    </row>
    <row r="870" spans="2:5" ht="12.5">
      <c r="B870" s="47"/>
      <c r="E870" s="48"/>
    </row>
    <row r="871" spans="2:5" ht="12.5">
      <c r="B871" s="47"/>
      <c r="E871" s="48"/>
    </row>
    <row r="872" spans="2:5" ht="12.5">
      <c r="B872" s="47"/>
      <c r="E872" s="48"/>
    </row>
    <row r="873" spans="2:5" ht="12.5">
      <c r="B873" s="47"/>
      <c r="E873" s="48"/>
    </row>
    <row r="874" spans="2:5" ht="12.5">
      <c r="B874" s="47"/>
      <c r="E874" s="48"/>
    </row>
    <row r="875" spans="2:5" ht="12.5">
      <c r="B875" s="47"/>
      <c r="E875" s="48"/>
    </row>
    <row r="876" spans="2:5" ht="12.5">
      <c r="B876" s="47"/>
      <c r="E876" s="48"/>
    </row>
    <row r="877" spans="2:5" ht="12.5">
      <c r="B877" s="47"/>
      <c r="E877" s="48"/>
    </row>
    <row r="878" spans="2:5" ht="12.5">
      <c r="B878" s="47"/>
      <c r="E878" s="48"/>
    </row>
    <row r="879" spans="2:5" ht="12.5">
      <c r="B879" s="47"/>
      <c r="E879" s="48"/>
    </row>
    <row r="880" spans="2:5" ht="12.5">
      <c r="B880" s="47"/>
      <c r="E880" s="48"/>
    </row>
    <row r="881" spans="2:5" ht="12.5">
      <c r="B881" s="47"/>
      <c r="E881" s="48"/>
    </row>
    <row r="882" spans="2:5" ht="12.5">
      <c r="B882" s="47"/>
      <c r="E882" s="48"/>
    </row>
    <row r="883" spans="2:5" ht="12.5">
      <c r="B883" s="47"/>
      <c r="E883" s="48"/>
    </row>
    <row r="884" spans="2:5" ht="12.5">
      <c r="B884" s="47"/>
      <c r="E884" s="48"/>
    </row>
    <row r="885" spans="2:5" ht="12.5">
      <c r="B885" s="47"/>
      <c r="E885" s="48"/>
    </row>
    <row r="886" spans="2:5" ht="12.5">
      <c r="B886" s="47"/>
      <c r="E886" s="48"/>
    </row>
    <row r="887" spans="2:5" ht="12.5">
      <c r="B887" s="47"/>
      <c r="E887" s="48"/>
    </row>
    <row r="888" spans="2:5" ht="12.5">
      <c r="B888" s="47"/>
      <c r="E888" s="48"/>
    </row>
    <row r="889" spans="2:5" ht="12.5">
      <c r="B889" s="47"/>
      <c r="E889" s="48"/>
    </row>
    <row r="890" spans="2:5" ht="12.5">
      <c r="B890" s="47"/>
      <c r="E890" s="48"/>
    </row>
    <row r="891" spans="2:5" ht="12.5">
      <c r="B891" s="47"/>
      <c r="E891" s="48"/>
    </row>
    <row r="892" spans="2:5" ht="12.5">
      <c r="B892" s="47"/>
      <c r="E892" s="48"/>
    </row>
    <row r="893" spans="2:5" ht="12.5">
      <c r="B893" s="47"/>
      <c r="E893" s="48"/>
    </row>
    <row r="894" spans="2:5" ht="12.5">
      <c r="B894" s="47"/>
      <c r="E894" s="48"/>
    </row>
    <row r="895" spans="2:5" ht="12.5">
      <c r="B895" s="47"/>
      <c r="E895" s="48"/>
    </row>
    <row r="896" spans="2:5" ht="12.5">
      <c r="B896" s="47"/>
      <c r="E896" s="48"/>
    </row>
    <row r="897" spans="2:5" ht="12.5">
      <c r="B897" s="47"/>
      <c r="E897" s="48"/>
    </row>
    <row r="898" spans="2:5" ht="12.5">
      <c r="B898" s="47"/>
      <c r="E898" s="48"/>
    </row>
    <row r="899" spans="2:5" ht="12.5">
      <c r="B899" s="47"/>
      <c r="E899" s="48"/>
    </row>
    <row r="900" spans="2:5" ht="12.5">
      <c r="B900" s="47"/>
      <c r="E900" s="48"/>
    </row>
    <row r="901" spans="2:5" ht="12.5">
      <c r="B901" s="47"/>
      <c r="E901" s="48"/>
    </row>
    <row r="902" spans="2:5" ht="12.5">
      <c r="B902" s="47"/>
      <c r="E902" s="48"/>
    </row>
    <row r="903" spans="2:5" ht="12.5">
      <c r="B903" s="47"/>
      <c r="E903" s="48"/>
    </row>
    <row r="904" spans="2:5" ht="12.5">
      <c r="B904" s="47"/>
      <c r="E904" s="48"/>
    </row>
    <row r="905" spans="2:5" ht="12.5">
      <c r="B905" s="47"/>
      <c r="E905" s="48"/>
    </row>
    <row r="906" spans="2:5" ht="12.5">
      <c r="B906" s="47"/>
      <c r="E906" s="48"/>
    </row>
    <row r="907" spans="2:5" ht="12.5">
      <c r="B907" s="47"/>
      <c r="E907" s="48"/>
    </row>
    <row r="908" spans="2:5" ht="12.5">
      <c r="B908" s="47"/>
      <c r="E908" s="48"/>
    </row>
    <row r="909" spans="2:5" ht="12.5">
      <c r="B909" s="47"/>
      <c r="E909" s="48"/>
    </row>
    <row r="910" spans="2:5" ht="12.5">
      <c r="B910" s="47"/>
      <c r="E910" s="48"/>
    </row>
    <row r="911" spans="2:5" ht="12.5">
      <c r="B911" s="47"/>
      <c r="E911" s="48"/>
    </row>
    <row r="912" spans="2:5" ht="12.5">
      <c r="B912" s="47"/>
      <c r="E912" s="48"/>
    </row>
    <row r="913" spans="2:5" ht="12.5">
      <c r="B913" s="47"/>
      <c r="E913" s="48"/>
    </row>
    <row r="914" spans="2:5" ht="12.5">
      <c r="B914" s="47"/>
      <c r="E914" s="48"/>
    </row>
    <row r="915" spans="2:5" ht="12.5">
      <c r="B915" s="47"/>
      <c r="E915" s="48"/>
    </row>
    <row r="916" spans="2:5" ht="12.5">
      <c r="B916" s="47"/>
      <c r="E916" s="48"/>
    </row>
    <row r="917" spans="2:5" ht="12.5">
      <c r="B917" s="47"/>
      <c r="E917" s="48"/>
    </row>
    <row r="918" spans="2:5" ht="12.5">
      <c r="B918" s="47"/>
      <c r="E918" s="48"/>
    </row>
    <row r="919" spans="2:5" ht="12.5">
      <c r="B919" s="47"/>
      <c r="E919" s="48"/>
    </row>
    <row r="920" spans="2:5" ht="12.5">
      <c r="B920" s="47"/>
      <c r="E920" s="48"/>
    </row>
    <row r="921" spans="2:5" ht="12.5">
      <c r="B921" s="47"/>
      <c r="E921" s="48"/>
    </row>
    <row r="922" spans="2:5" ht="12.5">
      <c r="B922" s="47"/>
      <c r="E922" s="48"/>
    </row>
    <row r="923" spans="2:5" ht="12.5">
      <c r="B923" s="47"/>
      <c r="E923" s="48"/>
    </row>
    <row r="924" spans="2:5" ht="12.5">
      <c r="B924" s="47"/>
      <c r="E924" s="48"/>
    </row>
    <row r="925" spans="2:5" ht="12.5">
      <c r="B925" s="47"/>
      <c r="E925" s="48"/>
    </row>
    <row r="926" spans="2:5" ht="12.5">
      <c r="B926" s="47"/>
      <c r="E926" s="48"/>
    </row>
    <row r="927" spans="2:5" ht="12.5">
      <c r="B927" s="47"/>
      <c r="E927" s="48"/>
    </row>
    <row r="928" spans="2:5" ht="12.5">
      <c r="B928" s="47"/>
      <c r="E928" s="48"/>
    </row>
    <row r="929" spans="2:5" ht="12.5">
      <c r="B929" s="47"/>
      <c r="E929" s="48"/>
    </row>
    <row r="930" spans="2:5" ht="12.5">
      <c r="B930" s="47"/>
      <c r="E930" s="48"/>
    </row>
    <row r="931" spans="2:5" ht="12.5">
      <c r="B931" s="47"/>
      <c r="E931" s="48"/>
    </row>
    <row r="932" spans="2:5" ht="12.5">
      <c r="B932" s="47"/>
      <c r="E932" s="48"/>
    </row>
    <row r="933" spans="2:5" ht="12.5">
      <c r="B933" s="47"/>
      <c r="E933" s="48"/>
    </row>
    <row r="934" spans="2:5" ht="12.5">
      <c r="B934" s="47"/>
      <c r="E934" s="48"/>
    </row>
    <row r="935" spans="2:5" ht="12.5">
      <c r="B935" s="47"/>
      <c r="E935" s="48"/>
    </row>
    <row r="936" spans="2:5" ht="12.5">
      <c r="B936" s="47"/>
      <c r="E936" s="48"/>
    </row>
    <row r="937" spans="2:5" ht="12.5">
      <c r="B937" s="47"/>
      <c r="E937" s="48"/>
    </row>
    <row r="938" spans="2:5" ht="12.5">
      <c r="B938" s="47"/>
      <c r="E938" s="48"/>
    </row>
    <row r="939" spans="2:5" ht="12.5">
      <c r="B939" s="47"/>
      <c r="E939" s="48"/>
    </row>
    <row r="940" spans="2:5" ht="12.5">
      <c r="B940" s="47"/>
      <c r="E940" s="48"/>
    </row>
    <row r="941" spans="2:5" ht="12.5">
      <c r="B941" s="47"/>
      <c r="E941" s="48"/>
    </row>
    <row r="942" spans="2:5" ht="12.5">
      <c r="B942" s="47"/>
      <c r="E942" s="48"/>
    </row>
    <row r="943" spans="2:5" ht="12.5">
      <c r="B943" s="47"/>
      <c r="E943" s="48"/>
    </row>
    <row r="944" spans="2:5" ht="12.5">
      <c r="B944" s="47"/>
      <c r="E944" s="48"/>
    </row>
    <row r="945" spans="2:5" ht="12.5">
      <c r="B945" s="47"/>
      <c r="E945" s="48"/>
    </row>
    <row r="946" spans="2:5" ht="12.5">
      <c r="B946" s="47"/>
      <c r="E946" s="48"/>
    </row>
    <row r="947" spans="2:5" ht="12.5">
      <c r="B947" s="47"/>
      <c r="E947" s="48"/>
    </row>
    <row r="948" spans="2:5" ht="12.5">
      <c r="B948" s="47"/>
      <c r="E948" s="48"/>
    </row>
    <row r="949" spans="2:5" ht="12.5">
      <c r="B949" s="47"/>
      <c r="E949" s="48"/>
    </row>
    <row r="950" spans="2:5" ht="12.5">
      <c r="B950" s="47"/>
      <c r="E950" s="48"/>
    </row>
    <row r="951" spans="2:5" ht="12.5">
      <c r="B951" s="47"/>
      <c r="E951" s="48"/>
    </row>
    <row r="952" spans="2:5" ht="12.5">
      <c r="B952" s="47"/>
      <c r="E952" s="48"/>
    </row>
    <row r="953" spans="2:5" ht="12.5">
      <c r="B953" s="47"/>
      <c r="E953" s="48"/>
    </row>
    <row r="954" spans="2:5" ht="12.5">
      <c r="B954" s="47"/>
      <c r="E954" s="48"/>
    </row>
    <row r="955" spans="2:5" ht="12.5">
      <c r="B955" s="47"/>
      <c r="E955" s="48"/>
    </row>
    <row r="956" spans="2:5" ht="12.5">
      <c r="B956" s="47"/>
      <c r="E956" s="48"/>
    </row>
    <row r="957" spans="2:5" ht="12.5">
      <c r="B957" s="47"/>
      <c r="E957" s="48"/>
    </row>
    <row r="958" spans="2:5" ht="12.5">
      <c r="B958" s="47"/>
      <c r="E958" s="48"/>
    </row>
    <row r="959" spans="2:5" ht="12.5">
      <c r="B959" s="47"/>
      <c r="E959" s="48"/>
    </row>
    <row r="960" spans="2:5" ht="12.5">
      <c r="B960" s="47"/>
      <c r="E960" s="48"/>
    </row>
    <row r="961" spans="2:5" ht="12.5">
      <c r="B961" s="47"/>
      <c r="E961" s="48"/>
    </row>
    <row r="962" spans="2:5" ht="12.5">
      <c r="B962" s="47"/>
      <c r="E962" s="48"/>
    </row>
    <row r="963" spans="2:5" ht="12.5">
      <c r="B963" s="47"/>
      <c r="E963" s="48"/>
    </row>
    <row r="964" spans="2:5" ht="12.5">
      <c r="B964" s="47"/>
      <c r="E964" s="48"/>
    </row>
    <row r="965" spans="2:5" ht="12.5">
      <c r="B965" s="47"/>
      <c r="E965" s="48"/>
    </row>
    <row r="966" spans="2:5" ht="12.5">
      <c r="B966" s="47"/>
      <c r="E966" s="48"/>
    </row>
    <row r="967" spans="2:5" ht="12.5">
      <c r="B967" s="47"/>
      <c r="E967" s="48"/>
    </row>
    <row r="968" spans="2:5" ht="12.5">
      <c r="B968" s="47"/>
      <c r="E968" s="48"/>
    </row>
    <row r="969" spans="2:5" ht="12.5">
      <c r="B969" s="47"/>
      <c r="E969" s="48"/>
    </row>
    <row r="970" spans="2:5" ht="12.5">
      <c r="B970" s="47"/>
      <c r="E970" s="48"/>
    </row>
    <row r="971" spans="2:5" ht="12.5">
      <c r="B971" s="47"/>
      <c r="E971" s="48"/>
    </row>
    <row r="972" spans="2:5" ht="12.5">
      <c r="B972" s="47"/>
      <c r="E972" s="48"/>
    </row>
    <row r="973" spans="2:5" ht="12.5">
      <c r="B973" s="47"/>
      <c r="E973" s="48"/>
    </row>
    <row r="974" spans="2:5" ht="12.5">
      <c r="B974" s="47"/>
      <c r="E974" s="48"/>
    </row>
    <row r="975" spans="2:5" ht="12.5">
      <c r="B975" s="47"/>
      <c r="E975" s="48"/>
    </row>
    <row r="976" spans="2:5" ht="12.5">
      <c r="B976" s="47"/>
      <c r="E976" s="48"/>
    </row>
    <row r="977" spans="2:5" ht="12.5">
      <c r="B977" s="47"/>
      <c r="E977" s="48"/>
    </row>
    <row r="978" spans="2:5" ht="12.5">
      <c r="B978" s="47"/>
      <c r="E978" s="48"/>
    </row>
    <row r="979" spans="2:5" ht="12.5">
      <c r="B979" s="47"/>
      <c r="E979" s="48"/>
    </row>
    <row r="980" spans="2:5" ht="12.5">
      <c r="B980" s="47"/>
      <c r="E980" s="48"/>
    </row>
    <row r="981" spans="2:5" ht="12.5">
      <c r="B981" s="47"/>
      <c r="E981" s="48"/>
    </row>
    <row r="982" spans="2:5" ht="12.5">
      <c r="B982" s="47"/>
      <c r="E982" s="48"/>
    </row>
    <row r="983" spans="2:5" ht="12.5">
      <c r="B983" s="47"/>
      <c r="E983" s="48"/>
    </row>
    <row r="984" spans="2:5" ht="12.5">
      <c r="B984" s="47"/>
      <c r="E984" s="48"/>
    </row>
    <row r="985" spans="2:5" ht="12.5">
      <c r="B985" s="47"/>
      <c r="E985" s="48"/>
    </row>
    <row r="986" spans="2:5" ht="12.5">
      <c r="B986" s="47"/>
      <c r="E986" s="48"/>
    </row>
    <row r="987" spans="2:5" ht="12.5">
      <c r="B987" s="47"/>
      <c r="E987" s="48"/>
    </row>
    <row r="988" spans="2:5" ht="12.5">
      <c r="B988" s="47"/>
      <c r="E988" s="48"/>
    </row>
    <row r="989" spans="2:5" ht="12.5">
      <c r="B989" s="47"/>
      <c r="E989" s="48"/>
    </row>
    <row r="990" spans="2:5" ht="12.5">
      <c r="B990" s="47"/>
      <c r="E990" s="48"/>
    </row>
    <row r="991" spans="2:5" ht="12.5">
      <c r="B991" s="47"/>
      <c r="E991" s="48"/>
    </row>
    <row r="992" spans="2:5" ht="12.5">
      <c r="B992" s="47"/>
      <c r="E992" s="48"/>
    </row>
    <row r="993" spans="2:5" ht="12.5">
      <c r="B993" s="47"/>
      <c r="E993" s="48"/>
    </row>
    <row r="994" spans="2:5" ht="12.5">
      <c r="B994" s="47"/>
      <c r="E994" s="48"/>
    </row>
    <row r="995" spans="2:5" ht="12.5">
      <c r="B995" s="47"/>
      <c r="E995" s="48"/>
    </row>
    <row r="996" spans="2:5" ht="12.5">
      <c r="B996" s="47"/>
      <c r="E996" s="48"/>
    </row>
    <row r="997" spans="2:5" ht="12.5">
      <c r="B997" s="47"/>
      <c r="E997" s="48"/>
    </row>
    <row r="998" spans="2:5" ht="12.5">
      <c r="B998" s="47"/>
      <c r="E998" s="48"/>
    </row>
    <row r="999" spans="2:5" ht="12.5">
      <c r="B999" s="47"/>
      <c r="E999" s="48"/>
    </row>
    <row r="1000" spans="2:5" ht="12.5">
      <c r="B1000" s="47"/>
      <c r="E1000" s="48"/>
    </row>
  </sheetData>
  <mergeCells count="1">
    <mergeCell ref="J2:K2"/>
  </mergeCells>
  <hyperlinks>
    <hyperlink ref="H2" location="'Main Dashboard'!A1" display="Click for the Main Dashboard" xr:uid="{00000000-0004-0000-0200-000000000000}"/>
    <hyperlink ref="H7" location="'Helper Data'!A1" display="Click for All Names" xr:uid="{00000000-0004-0000-0200-000001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/>
  </sheetViews>
  <sheetFormatPr defaultColWidth="12.6328125" defaultRowHeight="15.75" customHeight="1"/>
  <cols>
    <col min="1" max="1" width="26.08984375" customWidth="1"/>
    <col min="2" max="2" width="6.90625" customWidth="1"/>
    <col min="3" max="3" width="24.26953125" customWidth="1"/>
    <col min="4" max="4" width="23.08984375" customWidth="1"/>
    <col min="5" max="5" width="14.7265625" customWidth="1"/>
    <col min="8" max="8" width="31" customWidth="1"/>
  </cols>
  <sheetData>
    <row r="1" spans="1:11" ht="27.75" customHeight="1">
      <c r="A1" s="44" t="s">
        <v>28</v>
      </c>
      <c r="B1" s="45" t="s">
        <v>29</v>
      </c>
      <c r="C1" s="44" t="s">
        <v>30</v>
      </c>
      <c r="D1" s="44" t="s">
        <v>31</v>
      </c>
      <c r="E1" s="46" t="s">
        <v>33</v>
      </c>
    </row>
    <row r="2" spans="1:11" ht="15.5">
      <c r="A2" s="42" t="s">
        <v>399</v>
      </c>
      <c r="B2" s="47" t="s">
        <v>35</v>
      </c>
      <c r="C2" s="42" t="s">
        <v>400</v>
      </c>
      <c r="E2" s="48">
        <v>9485910378</v>
      </c>
      <c r="H2" s="43" t="s">
        <v>32</v>
      </c>
      <c r="J2" s="52" t="s">
        <v>38</v>
      </c>
      <c r="K2" s="51"/>
    </row>
    <row r="3" spans="1:11" ht="12.5">
      <c r="A3" s="42" t="s">
        <v>401</v>
      </c>
      <c r="B3" s="47" t="s">
        <v>35</v>
      </c>
      <c r="C3" s="42" t="s">
        <v>400</v>
      </c>
      <c r="E3" s="48">
        <v>9927722933</v>
      </c>
      <c r="J3" s="49" t="s">
        <v>40</v>
      </c>
      <c r="K3" s="49">
        <f>COUNTIF(B2:B1000, "F")</f>
        <v>42</v>
      </c>
    </row>
    <row r="4" spans="1:11" ht="12.5">
      <c r="A4" s="42" t="s">
        <v>402</v>
      </c>
      <c r="B4" s="47" t="s">
        <v>40</v>
      </c>
      <c r="C4" s="42" t="s">
        <v>400</v>
      </c>
      <c r="E4" s="48">
        <v>9672131566</v>
      </c>
      <c r="J4" s="49" t="s">
        <v>35</v>
      </c>
      <c r="K4" s="49">
        <f>COUNTIF(B3:B1000, "M")</f>
        <v>35</v>
      </c>
    </row>
    <row r="5" spans="1:11" ht="12.5">
      <c r="A5" s="42" t="s">
        <v>403</v>
      </c>
      <c r="B5" s="47" t="s">
        <v>35</v>
      </c>
      <c r="C5" s="42" t="s">
        <v>404</v>
      </c>
      <c r="E5" s="48">
        <v>9814137244</v>
      </c>
      <c r="J5" s="49" t="s">
        <v>49</v>
      </c>
      <c r="K5" s="49">
        <f>COUNTA(A2:A1000)</f>
        <v>77</v>
      </c>
    </row>
    <row r="6" spans="1:11" ht="12.5">
      <c r="A6" s="42" t="s">
        <v>405</v>
      </c>
      <c r="B6" s="47" t="s">
        <v>35</v>
      </c>
      <c r="C6" s="42" t="s">
        <v>400</v>
      </c>
      <c r="E6" s="48">
        <v>9216871698</v>
      </c>
    </row>
    <row r="7" spans="1:11" ht="15.5">
      <c r="A7" s="42" t="s">
        <v>406</v>
      </c>
      <c r="B7" s="47" t="s">
        <v>40</v>
      </c>
      <c r="C7" s="42" t="s">
        <v>400</v>
      </c>
      <c r="E7" s="48">
        <v>9060819015</v>
      </c>
      <c r="H7" s="43" t="s">
        <v>56</v>
      </c>
    </row>
    <row r="8" spans="1:11" ht="12.5">
      <c r="A8" s="42" t="s">
        <v>407</v>
      </c>
      <c r="B8" s="47" t="s">
        <v>35</v>
      </c>
      <c r="C8" s="42" t="s">
        <v>408</v>
      </c>
      <c r="E8" s="48">
        <v>9173079701</v>
      </c>
    </row>
    <row r="9" spans="1:11" ht="12.5">
      <c r="A9" s="42" t="s">
        <v>409</v>
      </c>
      <c r="B9" s="47" t="s">
        <v>40</v>
      </c>
      <c r="C9" s="42" t="s">
        <v>400</v>
      </c>
      <c r="E9" s="48">
        <v>9639126969</v>
      </c>
    </row>
    <row r="10" spans="1:11" ht="12.5">
      <c r="A10" s="42" t="s">
        <v>410</v>
      </c>
      <c r="B10" s="47" t="s">
        <v>40</v>
      </c>
      <c r="C10" s="42" t="s">
        <v>400</v>
      </c>
      <c r="E10" s="48">
        <v>9163102662</v>
      </c>
    </row>
    <row r="11" spans="1:11" ht="12.5">
      <c r="A11" s="42" t="s">
        <v>411</v>
      </c>
      <c r="B11" s="47" t="s">
        <v>35</v>
      </c>
      <c r="C11" s="42" t="s">
        <v>408</v>
      </c>
      <c r="E11" s="48">
        <v>9484606511</v>
      </c>
    </row>
    <row r="12" spans="1:11" ht="12.5">
      <c r="A12" s="42" t="s">
        <v>412</v>
      </c>
      <c r="B12" s="47" t="s">
        <v>35</v>
      </c>
      <c r="C12" s="42" t="s">
        <v>413</v>
      </c>
      <c r="E12" s="48">
        <v>9120555994</v>
      </c>
    </row>
    <row r="13" spans="1:11" ht="12.5">
      <c r="A13" s="42" t="s">
        <v>414</v>
      </c>
      <c r="B13" s="47" t="s">
        <v>35</v>
      </c>
      <c r="C13" s="42" t="s">
        <v>400</v>
      </c>
      <c r="E13" s="48">
        <v>9276340434</v>
      </c>
    </row>
    <row r="14" spans="1:11" ht="12.5">
      <c r="A14" s="42" t="s">
        <v>415</v>
      </c>
      <c r="B14" s="47" t="s">
        <v>35</v>
      </c>
      <c r="C14" s="42" t="s">
        <v>400</v>
      </c>
      <c r="E14" s="48">
        <v>9105196675</v>
      </c>
    </row>
    <row r="15" spans="1:11" ht="12.5">
      <c r="A15" s="42" t="s">
        <v>416</v>
      </c>
      <c r="B15" s="47" t="s">
        <v>35</v>
      </c>
      <c r="C15" s="42" t="s">
        <v>213</v>
      </c>
      <c r="E15" s="48">
        <v>9381561860</v>
      </c>
    </row>
    <row r="16" spans="1:11" ht="12.5">
      <c r="A16" s="42" t="s">
        <v>417</v>
      </c>
      <c r="B16" s="47" t="s">
        <v>40</v>
      </c>
      <c r="C16" s="42" t="s">
        <v>400</v>
      </c>
      <c r="E16" s="48">
        <v>9633434105</v>
      </c>
    </row>
    <row r="17" spans="1:9" ht="12.5">
      <c r="A17" s="42" t="s">
        <v>418</v>
      </c>
      <c r="B17" s="47" t="s">
        <v>35</v>
      </c>
      <c r="C17" s="42" t="s">
        <v>400</v>
      </c>
      <c r="E17" s="48">
        <v>9922291209</v>
      </c>
    </row>
    <row r="18" spans="1:9" ht="12.5">
      <c r="A18" s="42" t="s">
        <v>419</v>
      </c>
      <c r="B18" s="47" t="s">
        <v>35</v>
      </c>
      <c r="C18" s="42" t="s">
        <v>400</v>
      </c>
      <c r="E18" s="48">
        <v>9072065782</v>
      </c>
      <c r="I18" s="42"/>
    </row>
    <row r="19" spans="1:9" ht="12.5">
      <c r="A19" s="42" t="s">
        <v>420</v>
      </c>
      <c r="B19" s="47" t="s">
        <v>35</v>
      </c>
      <c r="C19" s="42" t="s">
        <v>400</v>
      </c>
      <c r="E19" s="48">
        <v>9770948818</v>
      </c>
    </row>
    <row r="20" spans="1:9" ht="12.5">
      <c r="A20" s="42" t="s">
        <v>421</v>
      </c>
      <c r="B20" s="47" t="s">
        <v>35</v>
      </c>
      <c r="C20" s="42" t="s">
        <v>400</v>
      </c>
      <c r="E20" s="48">
        <v>9512538807</v>
      </c>
    </row>
    <row r="21" spans="1:9" ht="12.5">
      <c r="A21" s="42" t="s">
        <v>422</v>
      </c>
      <c r="B21" s="47" t="s">
        <v>35</v>
      </c>
      <c r="C21" s="42" t="s">
        <v>400</v>
      </c>
      <c r="E21" s="48">
        <v>9917191453</v>
      </c>
    </row>
    <row r="22" spans="1:9" ht="12.5">
      <c r="A22" s="42" t="s">
        <v>423</v>
      </c>
      <c r="B22" s="47" t="s">
        <v>40</v>
      </c>
      <c r="C22" s="42" t="s">
        <v>400</v>
      </c>
      <c r="E22" s="48">
        <v>9103144912</v>
      </c>
    </row>
    <row r="23" spans="1:9" ht="12.5">
      <c r="A23" s="42" t="s">
        <v>424</v>
      </c>
      <c r="B23" s="47" t="s">
        <v>35</v>
      </c>
      <c r="C23" s="42" t="s">
        <v>400</v>
      </c>
      <c r="E23" s="48">
        <v>9923800171</v>
      </c>
    </row>
    <row r="24" spans="1:9" ht="12.5">
      <c r="A24" s="42" t="s">
        <v>425</v>
      </c>
      <c r="B24" s="47" t="s">
        <v>40</v>
      </c>
      <c r="C24" s="42" t="s">
        <v>400</v>
      </c>
      <c r="E24" s="48">
        <v>9151326393</v>
      </c>
    </row>
    <row r="25" spans="1:9" ht="12.5">
      <c r="A25" s="42" t="s">
        <v>426</v>
      </c>
      <c r="B25" s="47" t="s">
        <v>35</v>
      </c>
      <c r="C25" s="42" t="s">
        <v>400</v>
      </c>
      <c r="E25" s="48">
        <v>9701668231</v>
      </c>
    </row>
    <row r="26" spans="1:9" ht="12.5">
      <c r="A26" s="42" t="s">
        <v>427</v>
      </c>
      <c r="B26" s="47" t="s">
        <v>40</v>
      </c>
      <c r="C26" s="42" t="s">
        <v>400</v>
      </c>
      <c r="E26" s="48">
        <v>9918730608</v>
      </c>
    </row>
    <row r="27" spans="1:9" ht="12.5">
      <c r="A27" s="42" t="s">
        <v>428</v>
      </c>
      <c r="B27" s="47" t="s">
        <v>40</v>
      </c>
      <c r="C27" s="42" t="s">
        <v>400</v>
      </c>
      <c r="E27" s="48">
        <v>9583384523</v>
      </c>
    </row>
    <row r="28" spans="1:9" ht="12.5">
      <c r="A28" s="42" t="s">
        <v>429</v>
      </c>
      <c r="B28" s="47" t="s">
        <v>40</v>
      </c>
      <c r="C28" s="42" t="s">
        <v>430</v>
      </c>
      <c r="E28" s="48">
        <v>9639698603</v>
      </c>
    </row>
    <row r="29" spans="1:9" ht="12.5">
      <c r="A29" s="42" t="s">
        <v>431</v>
      </c>
      <c r="B29" s="47" t="s">
        <v>40</v>
      </c>
      <c r="C29" s="42" t="s">
        <v>430</v>
      </c>
      <c r="E29" s="48">
        <v>9760605838</v>
      </c>
    </row>
    <row r="30" spans="1:9" ht="12.5">
      <c r="A30" s="42" t="s">
        <v>432</v>
      </c>
      <c r="B30" s="47" t="s">
        <v>35</v>
      </c>
      <c r="C30" s="42" t="s">
        <v>400</v>
      </c>
      <c r="E30" s="48">
        <v>9152698992</v>
      </c>
    </row>
    <row r="31" spans="1:9" ht="12.5">
      <c r="A31" s="42" t="s">
        <v>433</v>
      </c>
      <c r="B31" s="47" t="s">
        <v>35</v>
      </c>
      <c r="C31" s="42" t="s">
        <v>144</v>
      </c>
      <c r="E31" s="48">
        <v>9815968029</v>
      </c>
    </row>
    <row r="32" spans="1:9" ht="12.5">
      <c r="A32" s="42" t="s">
        <v>434</v>
      </c>
      <c r="B32" s="47" t="s">
        <v>35</v>
      </c>
      <c r="C32" s="42" t="s">
        <v>400</v>
      </c>
      <c r="E32" s="48">
        <v>9951849808</v>
      </c>
    </row>
    <row r="33" spans="1:5" ht="12.5">
      <c r="A33" s="42" t="s">
        <v>435</v>
      </c>
      <c r="B33" s="47" t="s">
        <v>35</v>
      </c>
      <c r="C33" s="42" t="s">
        <v>400</v>
      </c>
      <c r="E33" s="48">
        <v>9957203875</v>
      </c>
    </row>
    <row r="34" spans="1:5" ht="12.5">
      <c r="A34" s="42" t="s">
        <v>436</v>
      </c>
      <c r="B34" s="47" t="s">
        <v>40</v>
      </c>
      <c r="C34" s="42" t="s">
        <v>400</v>
      </c>
      <c r="E34" s="48">
        <v>9913729496</v>
      </c>
    </row>
    <row r="35" spans="1:5" ht="12.5">
      <c r="A35" s="42" t="s">
        <v>437</v>
      </c>
      <c r="B35" s="47" t="s">
        <v>40</v>
      </c>
      <c r="C35" s="42" t="s">
        <v>408</v>
      </c>
      <c r="E35" s="48">
        <v>9656813612</v>
      </c>
    </row>
    <row r="36" spans="1:5" ht="12.5">
      <c r="A36" s="42" t="s">
        <v>438</v>
      </c>
      <c r="B36" s="47" t="s">
        <v>35</v>
      </c>
      <c r="C36" s="42" t="s">
        <v>400</v>
      </c>
      <c r="E36" s="48">
        <v>9462936691</v>
      </c>
    </row>
    <row r="37" spans="1:5" ht="12.5">
      <c r="A37" s="42" t="s">
        <v>439</v>
      </c>
      <c r="B37" s="47" t="s">
        <v>35</v>
      </c>
      <c r="C37" s="42" t="s">
        <v>400</v>
      </c>
      <c r="E37" s="48">
        <v>9105737940</v>
      </c>
    </row>
    <row r="38" spans="1:5" ht="12.5">
      <c r="A38" s="42" t="s">
        <v>440</v>
      </c>
      <c r="B38" s="47" t="s">
        <v>35</v>
      </c>
      <c r="C38" s="42" t="s">
        <v>400</v>
      </c>
      <c r="E38" s="48">
        <v>9382080806</v>
      </c>
    </row>
    <row r="39" spans="1:5" ht="12.5">
      <c r="A39" s="42" t="s">
        <v>441</v>
      </c>
      <c r="B39" s="47" t="s">
        <v>35</v>
      </c>
      <c r="C39" s="42" t="s">
        <v>213</v>
      </c>
      <c r="E39" s="48">
        <v>9455434209</v>
      </c>
    </row>
    <row r="40" spans="1:5" ht="12.5">
      <c r="A40" s="42" t="s">
        <v>442</v>
      </c>
      <c r="B40" s="47" t="s">
        <v>35</v>
      </c>
      <c r="C40" s="42" t="s">
        <v>400</v>
      </c>
      <c r="E40" s="48">
        <v>9928582289</v>
      </c>
    </row>
    <row r="41" spans="1:5" ht="12.5">
      <c r="A41" s="42" t="s">
        <v>443</v>
      </c>
      <c r="B41" s="47" t="s">
        <v>40</v>
      </c>
      <c r="C41" s="42" t="s">
        <v>400</v>
      </c>
      <c r="E41" s="48">
        <v>9556487735</v>
      </c>
    </row>
    <row r="42" spans="1:5" ht="12.5">
      <c r="A42" s="42" t="s">
        <v>444</v>
      </c>
      <c r="B42" s="47" t="s">
        <v>40</v>
      </c>
      <c r="C42" s="42" t="s">
        <v>400</v>
      </c>
      <c r="E42" s="48">
        <v>9925860061</v>
      </c>
    </row>
    <row r="43" spans="1:5" ht="12.5">
      <c r="A43" s="42" t="s">
        <v>445</v>
      </c>
      <c r="B43" s="47" t="s">
        <v>40</v>
      </c>
      <c r="C43" s="42" t="s">
        <v>400</v>
      </c>
      <c r="E43" s="48">
        <v>9055644620</v>
      </c>
    </row>
    <row r="44" spans="1:5" ht="12.5">
      <c r="A44" s="42" t="s">
        <v>446</v>
      </c>
      <c r="B44" s="47" t="s">
        <v>35</v>
      </c>
      <c r="C44" s="42" t="s">
        <v>64</v>
      </c>
      <c r="E44" s="48">
        <v>9121601460</v>
      </c>
    </row>
    <row r="45" spans="1:5" ht="12.5">
      <c r="A45" s="42" t="s">
        <v>447</v>
      </c>
      <c r="B45" s="47" t="s">
        <v>40</v>
      </c>
      <c r="C45" s="42" t="s">
        <v>213</v>
      </c>
      <c r="E45" s="48">
        <v>9072928714</v>
      </c>
    </row>
    <row r="46" spans="1:5" ht="12.5">
      <c r="A46" s="42" t="s">
        <v>448</v>
      </c>
      <c r="B46" s="47" t="s">
        <v>40</v>
      </c>
      <c r="C46" s="42" t="s">
        <v>400</v>
      </c>
      <c r="E46" s="48">
        <v>9458096054</v>
      </c>
    </row>
    <row r="47" spans="1:5" ht="12.5">
      <c r="A47" s="42" t="s">
        <v>449</v>
      </c>
      <c r="B47" s="47" t="s">
        <v>40</v>
      </c>
      <c r="C47" s="42" t="s">
        <v>64</v>
      </c>
      <c r="E47" s="48">
        <v>9518413605</v>
      </c>
    </row>
    <row r="48" spans="1:5" ht="12.5">
      <c r="A48" s="42" t="s">
        <v>450</v>
      </c>
      <c r="B48" s="47" t="s">
        <v>35</v>
      </c>
      <c r="C48" s="42" t="s">
        <v>144</v>
      </c>
      <c r="E48" s="48">
        <v>9703628323</v>
      </c>
    </row>
    <row r="49" spans="1:5" ht="12.5">
      <c r="A49" s="42" t="s">
        <v>451</v>
      </c>
      <c r="B49" s="47" t="s">
        <v>35</v>
      </c>
      <c r="C49" s="42" t="s">
        <v>400</v>
      </c>
      <c r="E49" s="48">
        <v>9669034115</v>
      </c>
    </row>
    <row r="50" spans="1:5" ht="12.5">
      <c r="A50" s="42" t="s">
        <v>452</v>
      </c>
      <c r="B50" s="47" t="s">
        <v>40</v>
      </c>
      <c r="C50" s="42" t="s">
        <v>400</v>
      </c>
      <c r="E50" s="48">
        <v>9172735990</v>
      </c>
    </row>
    <row r="51" spans="1:5" ht="12.5">
      <c r="A51" s="42" t="s">
        <v>453</v>
      </c>
      <c r="B51" s="47" t="s">
        <v>35</v>
      </c>
      <c r="C51" s="42" t="s">
        <v>400</v>
      </c>
      <c r="E51" s="48">
        <v>9273896761</v>
      </c>
    </row>
    <row r="52" spans="1:5" ht="12.5">
      <c r="A52" s="42" t="s">
        <v>454</v>
      </c>
      <c r="B52" s="47" t="s">
        <v>35</v>
      </c>
      <c r="C52" s="42" t="s">
        <v>400</v>
      </c>
      <c r="E52" s="48">
        <v>9531140564</v>
      </c>
    </row>
    <row r="53" spans="1:5" ht="12.5">
      <c r="A53" s="42" t="s">
        <v>455</v>
      </c>
      <c r="B53" s="47" t="s">
        <v>35</v>
      </c>
      <c r="C53" s="42" t="s">
        <v>400</v>
      </c>
      <c r="E53" s="48">
        <v>9094794554</v>
      </c>
    </row>
    <row r="54" spans="1:5" ht="12.5">
      <c r="A54" s="42" t="s">
        <v>456</v>
      </c>
      <c r="B54" s="47" t="s">
        <v>35</v>
      </c>
      <c r="C54" s="42" t="s">
        <v>400</v>
      </c>
      <c r="E54" s="48">
        <v>9911738792</v>
      </c>
    </row>
    <row r="55" spans="1:5" ht="12.5">
      <c r="A55" s="42" t="s">
        <v>457</v>
      </c>
      <c r="B55" s="47" t="s">
        <v>35</v>
      </c>
      <c r="C55" s="42" t="s">
        <v>404</v>
      </c>
      <c r="E55" s="48">
        <v>9298045828</v>
      </c>
    </row>
    <row r="56" spans="1:5" ht="12.5">
      <c r="A56" s="42" t="s">
        <v>458</v>
      </c>
      <c r="B56" s="47" t="s">
        <v>35</v>
      </c>
      <c r="C56" s="42" t="s">
        <v>400</v>
      </c>
      <c r="E56" s="48">
        <v>9306246248</v>
      </c>
    </row>
    <row r="57" spans="1:5" ht="12.5">
      <c r="A57" s="42" t="s">
        <v>459</v>
      </c>
      <c r="B57" s="47" t="s">
        <v>35</v>
      </c>
      <c r="C57" s="42" t="s">
        <v>400</v>
      </c>
      <c r="E57" s="48">
        <v>9638328908</v>
      </c>
    </row>
    <row r="58" spans="1:5" ht="12.5">
      <c r="A58" s="42" t="s">
        <v>460</v>
      </c>
      <c r="B58" s="47" t="s">
        <v>35</v>
      </c>
      <c r="C58" s="42" t="s">
        <v>400</v>
      </c>
      <c r="E58" s="48">
        <v>9351838535</v>
      </c>
    </row>
    <row r="59" spans="1:5" ht="12.5">
      <c r="A59" s="42" t="s">
        <v>461</v>
      </c>
      <c r="B59" s="47" t="s">
        <v>35</v>
      </c>
      <c r="C59" s="42" t="s">
        <v>408</v>
      </c>
      <c r="E59" s="48">
        <v>9635902052</v>
      </c>
    </row>
    <row r="60" spans="1:5" ht="12.5">
      <c r="A60" s="42" t="s">
        <v>462</v>
      </c>
      <c r="B60" s="47" t="s">
        <v>40</v>
      </c>
      <c r="C60" s="42" t="s">
        <v>400</v>
      </c>
      <c r="E60" s="48">
        <v>9670842643</v>
      </c>
    </row>
    <row r="61" spans="1:5" ht="12.5">
      <c r="A61" s="42" t="s">
        <v>463</v>
      </c>
      <c r="B61" s="47" t="s">
        <v>40</v>
      </c>
      <c r="C61" s="42" t="s">
        <v>47</v>
      </c>
      <c r="E61" s="48">
        <v>9203230297</v>
      </c>
    </row>
    <row r="62" spans="1:5" ht="12.5">
      <c r="A62" s="42" t="s">
        <v>464</v>
      </c>
      <c r="B62" s="47" t="s">
        <v>40</v>
      </c>
      <c r="C62" s="42" t="s">
        <v>465</v>
      </c>
      <c r="E62" s="48">
        <v>9932779655</v>
      </c>
    </row>
    <row r="63" spans="1:5" ht="12.5">
      <c r="A63" s="42" t="s">
        <v>466</v>
      </c>
      <c r="B63" s="47" t="s">
        <v>35</v>
      </c>
      <c r="C63" s="42" t="s">
        <v>400</v>
      </c>
      <c r="E63" s="48">
        <v>9662658549</v>
      </c>
    </row>
    <row r="64" spans="1:5" ht="12.5">
      <c r="A64" s="42" t="s">
        <v>467</v>
      </c>
      <c r="B64" s="47" t="s">
        <v>40</v>
      </c>
      <c r="C64" s="42" t="s">
        <v>400</v>
      </c>
      <c r="E64" s="48">
        <v>9918609846</v>
      </c>
    </row>
    <row r="65" spans="1:5" ht="12.5">
      <c r="A65" s="42" t="s">
        <v>468</v>
      </c>
      <c r="B65" s="47" t="s">
        <v>40</v>
      </c>
      <c r="C65" s="42" t="s">
        <v>400</v>
      </c>
      <c r="E65" s="48">
        <v>9926125336</v>
      </c>
    </row>
    <row r="66" spans="1:5" ht="12.5">
      <c r="A66" s="42" t="s">
        <v>469</v>
      </c>
      <c r="B66" s="47" t="s">
        <v>40</v>
      </c>
      <c r="C66" s="42" t="s">
        <v>47</v>
      </c>
      <c r="E66" s="48">
        <v>9309373447</v>
      </c>
    </row>
    <row r="67" spans="1:5" ht="12.5">
      <c r="A67" s="42" t="s">
        <v>470</v>
      </c>
      <c r="B67" s="47" t="s">
        <v>40</v>
      </c>
      <c r="C67" s="42" t="s">
        <v>471</v>
      </c>
      <c r="E67" s="48">
        <v>9516823880</v>
      </c>
    </row>
    <row r="68" spans="1:5" ht="12.5">
      <c r="A68" s="42" t="s">
        <v>472</v>
      </c>
      <c r="B68" s="47" t="s">
        <v>40</v>
      </c>
      <c r="C68" s="42" t="s">
        <v>400</v>
      </c>
      <c r="E68" s="48">
        <v>9272306046</v>
      </c>
    </row>
    <row r="69" spans="1:5" ht="12.5">
      <c r="A69" s="42" t="s">
        <v>473</v>
      </c>
      <c r="B69" s="47" t="s">
        <v>40</v>
      </c>
      <c r="C69" s="42" t="s">
        <v>400</v>
      </c>
      <c r="E69" s="48">
        <v>9948810199</v>
      </c>
    </row>
    <row r="70" spans="1:5" ht="12.5">
      <c r="A70" s="42" t="s">
        <v>474</v>
      </c>
      <c r="B70" s="47" t="s">
        <v>35</v>
      </c>
      <c r="C70" s="42" t="s">
        <v>400</v>
      </c>
      <c r="E70" s="48">
        <v>9912365735</v>
      </c>
    </row>
    <row r="71" spans="1:5" ht="12.5">
      <c r="A71" s="42" t="s">
        <v>475</v>
      </c>
      <c r="B71" s="47" t="s">
        <v>35</v>
      </c>
      <c r="C71" s="42" t="s">
        <v>400</v>
      </c>
      <c r="E71" s="48">
        <v>9851744240</v>
      </c>
    </row>
    <row r="72" spans="1:5" ht="12.5">
      <c r="A72" s="42" t="s">
        <v>476</v>
      </c>
      <c r="B72" s="47" t="s">
        <v>40</v>
      </c>
      <c r="C72" s="42" t="s">
        <v>213</v>
      </c>
      <c r="E72" s="48">
        <v>9925025480</v>
      </c>
    </row>
    <row r="73" spans="1:5" ht="12.5">
      <c r="A73" s="42" t="s">
        <v>477</v>
      </c>
      <c r="B73" s="47" t="s">
        <v>40</v>
      </c>
      <c r="C73" s="42" t="s">
        <v>400</v>
      </c>
      <c r="E73" s="48">
        <v>9518737140</v>
      </c>
    </row>
    <row r="74" spans="1:5" ht="12.5">
      <c r="A74" s="42" t="s">
        <v>478</v>
      </c>
      <c r="B74" s="47" t="s">
        <v>40</v>
      </c>
      <c r="C74" s="42" t="s">
        <v>408</v>
      </c>
      <c r="E74" s="48">
        <v>9500766678</v>
      </c>
    </row>
    <row r="75" spans="1:5" ht="12.5">
      <c r="A75" s="42" t="s">
        <v>479</v>
      </c>
      <c r="B75" s="47" t="s">
        <v>40</v>
      </c>
      <c r="C75" s="42" t="s">
        <v>400</v>
      </c>
      <c r="E75" s="48">
        <v>9207717561</v>
      </c>
    </row>
    <row r="76" spans="1:5" ht="12.5">
      <c r="A76" s="42" t="s">
        <v>480</v>
      </c>
      <c r="B76" s="47" t="s">
        <v>35</v>
      </c>
      <c r="C76" s="42" t="s">
        <v>400</v>
      </c>
      <c r="E76" s="48">
        <v>9664113219</v>
      </c>
    </row>
    <row r="77" spans="1:5" ht="12.5">
      <c r="A77" s="42" t="s">
        <v>481</v>
      </c>
      <c r="B77" s="47" t="s">
        <v>40</v>
      </c>
      <c r="C77" s="42" t="s">
        <v>408</v>
      </c>
      <c r="E77" s="48">
        <v>9278365825</v>
      </c>
    </row>
    <row r="78" spans="1:5" ht="12.5">
      <c r="A78" s="42" t="s">
        <v>482</v>
      </c>
      <c r="B78" s="47" t="s">
        <v>40</v>
      </c>
      <c r="C78" s="42" t="s">
        <v>400</v>
      </c>
      <c r="E78" s="48">
        <v>9105168075</v>
      </c>
    </row>
    <row r="79" spans="1:5" ht="12.5">
      <c r="B79" s="47"/>
      <c r="E79" s="48"/>
    </row>
    <row r="80" spans="1:5" ht="12.5">
      <c r="B80" s="47"/>
      <c r="E80" s="48"/>
    </row>
    <row r="81" spans="2:5" ht="12.5">
      <c r="B81" s="47"/>
      <c r="E81" s="48"/>
    </row>
    <row r="82" spans="2:5" ht="12.5">
      <c r="B82" s="47"/>
      <c r="E82" s="48"/>
    </row>
    <row r="83" spans="2:5" ht="12.5">
      <c r="B83" s="47"/>
      <c r="E83" s="48"/>
    </row>
    <row r="84" spans="2:5" ht="12.5">
      <c r="B84" s="47"/>
      <c r="E84" s="48"/>
    </row>
    <row r="85" spans="2:5" ht="12.5">
      <c r="B85" s="47"/>
      <c r="E85" s="48"/>
    </row>
    <row r="86" spans="2:5" ht="12.5">
      <c r="B86" s="47"/>
      <c r="E86" s="48"/>
    </row>
    <row r="87" spans="2:5" ht="12.5">
      <c r="B87" s="47"/>
      <c r="E87" s="48"/>
    </row>
    <row r="88" spans="2:5" ht="12.5">
      <c r="B88" s="47"/>
      <c r="E88" s="48"/>
    </row>
    <row r="89" spans="2:5" ht="12.5">
      <c r="B89" s="47"/>
      <c r="E89" s="48"/>
    </row>
    <row r="90" spans="2:5" ht="12.5">
      <c r="B90" s="47"/>
      <c r="E90" s="48"/>
    </row>
    <row r="91" spans="2:5" ht="12.5">
      <c r="B91" s="47"/>
      <c r="E91" s="48"/>
    </row>
    <row r="92" spans="2:5" ht="12.5">
      <c r="B92" s="47"/>
      <c r="E92" s="48"/>
    </row>
    <row r="93" spans="2:5" ht="12.5">
      <c r="B93" s="47"/>
      <c r="E93" s="48"/>
    </row>
    <row r="94" spans="2:5" ht="12.5">
      <c r="B94" s="47"/>
      <c r="E94" s="48"/>
    </row>
    <row r="95" spans="2:5" ht="12.5">
      <c r="B95" s="47"/>
      <c r="E95" s="48"/>
    </row>
    <row r="96" spans="2:5" ht="12.5">
      <c r="B96" s="47"/>
      <c r="E96" s="48"/>
    </row>
    <row r="97" spans="2:5" ht="12.5">
      <c r="B97" s="47"/>
      <c r="E97" s="48"/>
    </row>
    <row r="98" spans="2:5" ht="12.5">
      <c r="B98" s="47"/>
      <c r="E98" s="48"/>
    </row>
    <row r="99" spans="2:5" ht="12.5">
      <c r="B99" s="47"/>
      <c r="E99" s="48"/>
    </row>
    <row r="100" spans="2:5" ht="12.5">
      <c r="B100" s="47"/>
      <c r="E100" s="48"/>
    </row>
    <row r="101" spans="2:5" ht="12.5">
      <c r="B101" s="47"/>
      <c r="E101" s="48"/>
    </row>
    <row r="102" spans="2:5" ht="12.5">
      <c r="B102" s="47"/>
      <c r="E102" s="48"/>
    </row>
    <row r="103" spans="2:5" ht="12.5">
      <c r="B103" s="47"/>
      <c r="E103" s="48"/>
    </row>
    <row r="104" spans="2:5" ht="12.5">
      <c r="B104" s="47"/>
      <c r="E104" s="48"/>
    </row>
    <row r="105" spans="2:5" ht="12.5">
      <c r="B105" s="47"/>
      <c r="E105" s="48"/>
    </row>
    <row r="106" spans="2:5" ht="12.5">
      <c r="B106" s="47"/>
      <c r="E106" s="48"/>
    </row>
    <row r="107" spans="2:5" ht="12.5">
      <c r="B107" s="47"/>
      <c r="E107" s="48"/>
    </row>
    <row r="108" spans="2:5" ht="12.5">
      <c r="B108" s="47"/>
      <c r="E108" s="48"/>
    </row>
    <row r="109" spans="2:5" ht="12.5">
      <c r="B109" s="47"/>
      <c r="E109" s="48"/>
    </row>
    <row r="110" spans="2:5" ht="12.5">
      <c r="B110" s="47"/>
      <c r="E110" s="48"/>
    </row>
    <row r="111" spans="2:5" ht="12.5">
      <c r="B111" s="47"/>
      <c r="E111" s="48"/>
    </row>
    <row r="112" spans="2:5" ht="12.5">
      <c r="B112" s="47"/>
      <c r="E112" s="48"/>
    </row>
    <row r="113" spans="2:5" ht="12.5">
      <c r="B113" s="47"/>
      <c r="E113" s="48"/>
    </row>
    <row r="114" spans="2:5" ht="12.5">
      <c r="B114" s="47"/>
      <c r="E114" s="48"/>
    </row>
    <row r="115" spans="2:5" ht="12.5">
      <c r="B115" s="47"/>
      <c r="E115" s="48"/>
    </row>
    <row r="116" spans="2:5" ht="12.5">
      <c r="B116" s="47"/>
      <c r="E116" s="48"/>
    </row>
    <row r="117" spans="2:5" ht="12.5">
      <c r="B117" s="47"/>
      <c r="E117" s="48"/>
    </row>
    <row r="118" spans="2:5" ht="12.5">
      <c r="B118" s="47"/>
      <c r="E118" s="48"/>
    </row>
    <row r="119" spans="2:5" ht="12.5">
      <c r="B119" s="47"/>
      <c r="E119" s="48"/>
    </row>
    <row r="120" spans="2:5" ht="12.5">
      <c r="B120" s="47"/>
      <c r="E120" s="48"/>
    </row>
    <row r="121" spans="2:5" ht="12.5">
      <c r="B121" s="47"/>
      <c r="E121" s="48"/>
    </row>
    <row r="122" spans="2:5" ht="12.5">
      <c r="B122" s="47"/>
      <c r="E122" s="48"/>
    </row>
    <row r="123" spans="2:5" ht="12.5">
      <c r="B123" s="47"/>
      <c r="E123" s="48"/>
    </row>
    <row r="124" spans="2:5" ht="12.5">
      <c r="B124" s="47"/>
      <c r="E124" s="48"/>
    </row>
    <row r="125" spans="2:5" ht="12.5">
      <c r="B125" s="47"/>
      <c r="E125" s="48"/>
    </row>
    <row r="126" spans="2:5" ht="12.5">
      <c r="B126" s="47"/>
      <c r="E126" s="48"/>
    </row>
    <row r="127" spans="2:5" ht="12.5">
      <c r="B127" s="47"/>
      <c r="E127" s="48"/>
    </row>
    <row r="128" spans="2:5" ht="12.5">
      <c r="B128" s="47"/>
      <c r="E128" s="48"/>
    </row>
    <row r="129" spans="2:5" ht="12.5">
      <c r="B129" s="47"/>
      <c r="E129" s="48"/>
    </row>
    <row r="130" spans="2:5" ht="12.5">
      <c r="B130" s="47"/>
      <c r="E130" s="48"/>
    </row>
    <row r="131" spans="2:5" ht="12.5">
      <c r="B131" s="47"/>
      <c r="E131" s="48"/>
    </row>
    <row r="132" spans="2:5" ht="12.5">
      <c r="B132" s="47"/>
      <c r="E132" s="48"/>
    </row>
    <row r="133" spans="2:5" ht="12.5">
      <c r="B133" s="47"/>
      <c r="E133" s="48"/>
    </row>
    <row r="134" spans="2:5" ht="12.5">
      <c r="B134" s="47"/>
      <c r="E134" s="48"/>
    </row>
    <row r="135" spans="2:5" ht="12.5">
      <c r="B135" s="47"/>
      <c r="E135" s="48"/>
    </row>
    <row r="136" spans="2:5" ht="12.5">
      <c r="B136" s="47"/>
      <c r="E136" s="48"/>
    </row>
    <row r="137" spans="2:5" ht="12.5">
      <c r="B137" s="47"/>
      <c r="E137" s="48"/>
    </row>
    <row r="138" spans="2:5" ht="12.5">
      <c r="B138" s="47"/>
      <c r="E138" s="48"/>
    </row>
    <row r="139" spans="2:5" ht="12.5">
      <c r="B139" s="47"/>
      <c r="E139" s="48"/>
    </row>
    <row r="140" spans="2:5" ht="12.5">
      <c r="B140" s="47"/>
      <c r="E140" s="48"/>
    </row>
    <row r="141" spans="2:5" ht="12.5">
      <c r="B141" s="47"/>
      <c r="E141" s="48"/>
    </row>
    <row r="142" spans="2:5" ht="12.5">
      <c r="B142" s="47"/>
      <c r="E142" s="48"/>
    </row>
    <row r="143" spans="2:5" ht="12.5">
      <c r="B143" s="47"/>
      <c r="E143" s="48"/>
    </row>
    <row r="144" spans="2:5" ht="12.5">
      <c r="B144" s="47"/>
      <c r="E144" s="48"/>
    </row>
    <row r="145" spans="2:5" ht="12.5">
      <c r="B145" s="47"/>
      <c r="E145" s="48"/>
    </row>
    <row r="146" spans="2:5" ht="12.5">
      <c r="B146" s="47"/>
      <c r="E146" s="48"/>
    </row>
    <row r="147" spans="2:5" ht="12.5">
      <c r="B147" s="47"/>
      <c r="E147" s="48"/>
    </row>
    <row r="148" spans="2:5" ht="12.5">
      <c r="B148" s="47"/>
      <c r="E148" s="48"/>
    </row>
    <row r="149" spans="2:5" ht="12.5">
      <c r="B149" s="47"/>
      <c r="E149" s="48"/>
    </row>
    <row r="150" spans="2:5" ht="12.5">
      <c r="B150" s="47"/>
      <c r="E150" s="48"/>
    </row>
    <row r="151" spans="2:5" ht="12.5">
      <c r="B151" s="47"/>
      <c r="E151" s="48"/>
    </row>
    <row r="152" spans="2:5" ht="12.5">
      <c r="B152" s="47"/>
      <c r="E152" s="48"/>
    </row>
    <row r="153" spans="2:5" ht="12.5">
      <c r="B153" s="47"/>
      <c r="E153" s="48"/>
    </row>
    <row r="154" spans="2:5" ht="12.5">
      <c r="B154" s="47"/>
      <c r="E154" s="48"/>
    </row>
    <row r="155" spans="2:5" ht="12.5">
      <c r="B155" s="47"/>
      <c r="E155" s="48"/>
    </row>
    <row r="156" spans="2:5" ht="12.5">
      <c r="B156" s="47"/>
      <c r="E156" s="48"/>
    </row>
    <row r="157" spans="2:5" ht="12.5">
      <c r="B157" s="47"/>
      <c r="E157" s="48"/>
    </row>
    <row r="158" spans="2:5" ht="12.5">
      <c r="B158" s="47"/>
      <c r="E158" s="48"/>
    </row>
    <row r="159" spans="2:5" ht="12.5">
      <c r="B159" s="47"/>
      <c r="E159" s="48"/>
    </row>
    <row r="160" spans="2:5" ht="12.5">
      <c r="B160" s="47"/>
      <c r="E160" s="48"/>
    </row>
    <row r="161" spans="2:5" ht="12.5">
      <c r="B161" s="47"/>
      <c r="E161" s="48"/>
    </row>
    <row r="162" spans="2:5" ht="12.5">
      <c r="B162" s="47"/>
      <c r="E162" s="48"/>
    </row>
    <row r="163" spans="2:5" ht="12.5">
      <c r="B163" s="47"/>
      <c r="E163" s="48"/>
    </row>
    <row r="164" spans="2:5" ht="12.5">
      <c r="B164" s="47"/>
      <c r="E164" s="48"/>
    </row>
    <row r="165" spans="2:5" ht="12.5">
      <c r="B165" s="47"/>
      <c r="E165" s="48"/>
    </row>
    <row r="166" spans="2:5" ht="12.5">
      <c r="B166" s="47"/>
      <c r="E166" s="48"/>
    </row>
    <row r="167" spans="2:5" ht="12.5">
      <c r="B167" s="47"/>
      <c r="E167" s="48"/>
    </row>
    <row r="168" spans="2:5" ht="12.5">
      <c r="B168" s="47"/>
      <c r="E168" s="48"/>
    </row>
    <row r="169" spans="2:5" ht="12.5">
      <c r="B169" s="47"/>
      <c r="E169" s="48"/>
    </row>
    <row r="170" spans="2:5" ht="12.5">
      <c r="B170" s="47"/>
      <c r="E170" s="48"/>
    </row>
    <row r="171" spans="2:5" ht="12.5">
      <c r="B171" s="47"/>
      <c r="E171" s="48"/>
    </row>
    <row r="172" spans="2:5" ht="12.5">
      <c r="B172" s="47"/>
      <c r="E172" s="48"/>
    </row>
    <row r="173" spans="2:5" ht="12.5">
      <c r="B173" s="47"/>
      <c r="E173" s="48"/>
    </row>
    <row r="174" spans="2:5" ht="12.5">
      <c r="B174" s="47"/>
      <c r="E174" s="48"/>
    </row>
    <row r="175" spans="2:5" ht="12.5">
      <c r="B175" s="47"/>
      <c r="E175" s="48"/>
    </row>
    <row r="176" spans="2:5" ht="12.5">
      <c r="B176" s="47"/>
      <c r="E176" s="48"/>
    </row>
    <row r="177" spans="2:5" ht="12.5">
      <c r="B177" s="47"/>
      <c r="E177" s="48"/>
    </row>
    <row r="178" spans="2:5" ht="12.5">
      <c r="B178" s="47"/>
      <c r="E178" s="48"/>
    </row>
    <row r="179" spans="2:5" ht="12.5">
      <c r="B179" s="47"/>
      <c r="E179" s="48"/>
    </row>
    <row r="180" spans="2:5" ht="12.5">
      <c r="B180" s="47"/>
      <c r="E180" s="48"/>
    </row>
    <row r="181" spans="2:5" ht="12.5">
      <c r="B181" s="47"/>
      <c r="E181" s="48"/>
    </row>
    <row r="182" spans="2:5" ht="12.5">
      <c r="B182" s="47"/>
      <c r="E182" s="48"/>
    </row>
    <row r="183" spans="2:5" ht="12.5">
      <c r="B183" s="47"/>
      <c r="E183" s="48"/>
    </row>
    <row r="184" spans="2:5" ht="12.5">
      <c r="B184" s="47"/>
      <c r="E184" s="48"/>
    </row>
    <row r="185" spans="2:5" ht="12.5">
      <c r="B185" s="47"/>
      <c r="E185" s="48"/>
    </row>
    <row r="186" spans="2:5" ht="12.5">
      <c r="B186" s="47"/>
      <c r="E186" s="48"/>
    </row>
    <row r="187" spans="2:5" ht="12.5">
      <c r="B187" s="47"/>
      <c r="E187" s="48"/>
    </row>
    <row r="188" spans="2:5" ht="12.5">
      <c r="B188" s="47"/>
      <c r="E188" s="48"/>
    </row>
    <row r="189" spans="2:5" ht="12.5">
      <c r="B189" s="47"/>
      <c r="E189" s="48"/>
    </row>
    <row r="190" spans="2:5" ht="12.5">
      <c r="B190" s="47"/>
      <c r="E190" s="48"/>
    </row>
    <row r="191" spans="2:5" ht="12.5">
      <c r="B191" s="47"/>
      <c r="E191" s="48"/>
    </row>
    <row r="192" spans="2:5" ht="12.5">
      <c r="B192" s="47"/>
      <c r="E192" s="48"/>
    </row>
    <row r="193" spans="2:5" ht="12.5">
      <c r="B193" s="47"/>
      <c r="E193" s="48"/>
    </row>
    <row r="194" spans="2:5" ht="12.5">
      <c r="B194" s="47"/>
      <c r="E194" s="48"/>
    </row>
    <row r="195" spans="2:5" ht="12.5">
      <c r="B195" s="47"/>
      <c r="E195" s="48"/>
    </row>
    <row r="196" spans="2:5" ht="12.5">
      <c r="B196" s="47"/>
      <c r="E196" s="48"/>
    </row>
    <row r="197" spans="2:5" ht="12.5">
      <c r="B197" s="47"/>
      <c r="E197" s="48"/>
    </row>
    <row r="198" spans="2:5" ht="12.5">
      <c r="B198" s="47"/>
      <c r="E198" s="48"/>
    </row>
    <row r="199" spans="2:5" ht="12.5">
      <c r="B199" s="47"/>
      <c r="E199" s="48"/>
    </row>
    <row r="200" spans="2:5" ht="12.5">
      <c r="B200" s="47"/>
      <c r="E200" s="48"/>
    </row>
    <row r="201" spans="2:5" ht="12.5">
      <c r="B201" s="47"/>
      <c r="E201" s="48"/>
    </row>
    <row r="202" spans="2:5" ht="12.5">
      <c r="B202" s="47"/>
      <c r="E202" s="48"/>
    </row>
    <row r="203" spans="2:5" ht="12.5">
      <c r="B203" s="47"/>
      <c r="E203" s="48"/>
    </row>
    <row r="204" spans="2:5" ht="12.5">
      <c r="B204" s="47"/>
      <c r="E204" s="48"/>
    </row>
    <row r="205" spans="2:5" ht="12.5">
      <c r="B205" s="47"/>
      <c r="E205" s="48"/>
    </row>
    <row r="206" spans="2:5" ht="12.5">
      <c r="B206" s="47"/>
      <c r="E206" s="48"/>
    </row>
    <row r="207" spans="2:5" ht="12.5">
      <c r="B207" s="47"/>
      <c r="E207" s="48"/>
    </row>
    <row r="208" spans="2:5" ht="12.5">
      <c r="B208" s="47"/>
      <c r="E208" s="48"/>
    </row>
    <row r="209" spans="2:5" ht="12.5">
      <c r="B209" s="47"/>
      <c r="E209" s="48"/>
    </row>
    <row r="210" spans="2:5" ht="12.5">
      <c r="B210" s="47"/>
      <c r="E210" s="48"/>
    </row>
    <row r="211" spans="2:5" ht="12.5">
      <c r="B211" s="47"/>
      <c r="E211" s="48"/>
    </row>
    <row r="212" spans="2:5" ht="12.5">
      <c r="B212" s="47"/>
      <c r="E212" s="48"/>
    </row>
    <row r="213" spans="2:5" ht="12.5">
      <c r="B213" s="47"/>
      <c r="E213" s="48"/>
    </row>
    <row r="214" spans="2:5" ht="12.5">
      <c r="B214" s="47"/>
      <c r="E214" s="48"/>
    </row>
    <row r="215" spans="2:5" ht="12.5">
      <c r="B215" s="47"/>
      <c r="E215" s="48"/>
    </row>
    <row r="216" spans="2:5" ht="12.5">
      <c r="B216" s="47"/>
      <c r="E216" s="48"/>
    </row>
    <row r="217" spans="2:5" ht="12.5">
      <c r="B217" s="47"/>
      <c r="E217" s="48"/>
    </row>
    <row r="218" spans="2:5" ht="12.5">
      <c r="B218" s="47"/>
      <c r="E218" s="48"/>
    </row>
    <row r="219" spans="2:5" ht="12.5">
      <c r="B219" s="47"/>
      <c r="E219" s="48"/>
    </row>
    <row r="220" spans="2:5" ht="12.5">
      <c r="B220" s="47"/>
      <c r="E220" s="48"/>
    </row>
    <row r="221" spans="2:5" ht="12.5">
      <c r="B221" s="47"/>
      <c r="E221" s="48"/>
    </row>
    <row r="222" spans="2:5" ht="12.5">
      <c r="B222" s="47"/>
      <c r="E222" s="48"/>
    </row>
    <row r="223" spans="2:5" ht="12.5">
      <c r="B223" s="47"/>
      <c r="E223" s="48"/>
    </row>
    <row r="224" spans="2:5" ht="12.5">
      <c r="B224" s="47"/>
      <c r="E224" s="48"/>
    </row>
    <row r="225" spans="2:5" ht="12.5">
      <c r="B225" s="47"/>
      <c r="E225" s="48"/>
    </row>
    <row r="226" spans="2:5" ht="12.5">
      <c r="B226" s="47"/>
      <c r="E226" s="48"/>
    </row>
    <row r="227" spans="2:5" ht="12.5">
      <c r="B227" s="47"/>
      <c r="E227" s="48"/>
    </row>
    <row r="228" spans="2:5" ht="12.5">
      <c r="B228" s="47"/>
      <c r="E228" s="48"/>
    </row>
    <row r="229" spans="2:5" ht="12.5">
      <c r="B229" s="47"/>
      <c r="E229" s="48"/>
    </row>
    <row r="230" spans="2:5" ht="12.5">
      <c r="B230" s="47"/>
      <c r="E230" s="48"/>
    </row>
    <row r="231" spans="2:5" ht="12.5">
      <c r="B231" s="47"/>
      <c r="E231" s="48"/>
    </row>
    <row r="232" spans="2:5" ht="12.5">
      <c r="B232" s="47"/>
      <c r="E232" s="48"/>
    </row>
    <row r="233" spans="2:5" ht="12.5">
      <c r="B233" s="47"/>
      <c r="E233" s="48"/>
    </row>
    <row r="234" spans="2:5" ht="12.5">
      <c r="B234" s="47"/>
      <c r="E234" s="48"/>
    </row>
    <row r="235" spans="2:5" ht="12.5">
      <c r="B235" s="47"/>
      <c r="E235" s="48"/>
    </row>
    <row r="236" spans="2:5" ht="12.5">
      <c r="B236" s="47"/>
      <c r="E236" s="48"/>
    </row>
    <row r="237" spans="2:5" ht="12.5">
      <c r="B237" s="47"/>
      <c r="E237" s="48"/>
    </row>
    <row r="238" spans="2:5" ht="12.5">
      <c r="B238" s="47"/>
      <c r="E238" s="48"/>
    </row>
    <row r="239" spans="2:5" ht="12.5">
      <c r="B239" s="47"/>
      <c r="E239" s="48"/>
    </row>
    <row r="240" spans="2:5" ht="12.5">
      <c r="B240" s="47"/>
      <c r="E240" s="48"/>
    </row>
    <row r="241" spans="2:5" ht="12.5">
      <c r="B241" s="47"/>
      <c r="E241" s="48"/>
    </row>
    <row r="242" spans="2:5" ht="12.5">
      <c r="B242" s="47"/>
      <c r="E242" s="48"/>
    </row>
    <row r="243" spans="2:5" ht="12.5">
      <c r="B243" s="47"/>
      <c r="E243" s="48"/>
    </row>
    <row r="244" spans="2:5" ht="12.5">
      <c r="B244" s="47"/>
      <c r="E244" s="48"/>
    </row>
    <row r="245" spans="2:5" ht="12.5">
      <c r="B245" s="47"/>
      <c r="E245" s="48"/>
    </row>
    <row r="246" spans="2:5" ht="12.5">
      <c r="B246" s="47"/>
      <c r="E246" s="48"/>
    </row>
    <row r="247" spans="2:5" ht="12.5">
      <c r="B247" s="47"/>
      <c r="E247" s="48"/>
    </row>
    <row r="248" spans="2:5" ht="12.5">
      <c r="B248" s="47"/>
      <c r="E248" s="48"/>
    </row>
    <row r="249" spans="2:5" ht="12.5">
      <c r="B249" s="47"/>
      <c r="E249" s="48"/>
    </row>
    <row r="250" spans="2:5" ht="12.5">
      <c r="B250" s="47"/>
      <c r="E250" s="48"/>
    </row>
    <row r="251" spans="2:5" ht="12.5">
      <c r="B251" s="47"/>
      <c r="E251" s="48"/>
    </row>
    <row r="252" spans="2:5" ht="12.5">
      <c r="B252" s="47"/>
      <c r="E252" s="48"/>
    </row>
    <row r="253" spans="2:5" ht="12.5">
      <c r="B253" s="47"/>
      <c r="E253" s="48"/>
    </row>
    <row r="254" spans="2:5" ht="12.5">
      <c r="B254" s="47"/>
      <c r="E254" s="48"/>
    </row>
    <row r="255" spans="2:5" ht="12.5">
      <c r="B255" s="47"/>
      <c r="E255" s="48"/>
    </row>
    <row r="256" spans="2:5" ht="12.5">
      <c r="B256" s="47"/>
      <c r="E256" s="48"/>
    </row>
    <row r="257" spans="2:5" ht="12.5">
      <c r="B257" s="47"/>
      <c r="E257" s="48"/>
    </row>
    <row r="258" spans="2:5" ht="12.5">
      <c r="B258" s="47"/>
      <c r="E258" s="48"/>
    </row>
    <row r="259" spans="2:5" ht="12.5">
      <c r="B259" s="47"/>
      <c r="E259" s="48"/>
    </row>
    <row r="260" spans="2:5" ht="12.5">
      <c r="B260" s="47"/>
      <c r="E260" s="48"/>
    </row>
    <row r="261" spans="2:5" ht="12.5">
      <c r="B261" s="47"/>
      <c r="E261" s="48"/>
    </row>
    <row r="262" spans="2:5" ht="12.5">
      <c r="B262" s="47"/>
      <c r="E262" s="48"/>
    </row>
    <row r="263" spans="2:5" ht="12.5">
      <c r="B263" s="47"/>
      <c r="E263" s="48"/>
    </row>
    <row r="264" spans="2:5" ht="12.5">
      <c r="B264" s="47"/>
      <c r="E264" s="48"/>
    </row>
    <row r="265" spans="2:5" ht="12.5">
      <c r="B265" s="47"/>
      <c r="E265" s="48"/>
    </row>
    <row r="266" spans="2:5" ht="12.5">
      <c r="B266" s="47"/>
      <c r="E266" s="48"/>
    </row>
    <row r="267" spans="2:5" ht="12.5">
      <c r="B267" s="47"/>
      <c r="E267" s="48"/>
    </row>
    <row r="268" spans="2:5" ht="12.5">
      <c r="B268" s="47"/>
      <c r="E268" s="48"/>
    </row>
    <row r="269" spans="2:5" ht="12.5">
      <c r="B269" s="47"/>
      <c r="E269" s="48"/>
    </row>
    <row r="270" spans="2:5" ht="12.5">
      <c r="B270" s="47"/>
      <c r="E270" s="48"/>
    </row>
    <row r="271" spans="2:5" ht="12.5">
      <c r="B271" s="47"/>
      <c r="E271" s="48"/>
    </row>
    <row r="272" spans="2:5" ht="12.5">
      <c r="B272" s="47"/>
      <c r="E272" s="48"/>
    </row>
    <row r="273" spans="2:5" ht="12.5">
      <c r="B273" s="47"/>
      <c r="E273" s="48"/>
    </row>
    <row r="274" spans="2:5" ht="12.5">
      <c r="B274" s="47"/>
      <c r="E274" s="48"/>
    </row>
    <row r="275" spans="2:5" ht="12.5">
      <c r="B275" s="47"/>
      <c r="E275" s="48"/>
    </row>
    <row r="276" spans="2:5" ht="12.5">
      <c r="B276" s="47"/>
      <c r="E276" s="48"/>
    </row>
    <row r="277" spans="2:5" ht="12.5">
      <c r="B277" s="47"/>
      <c r="E277" s="48"/>
    </row>
    <row r="278" spans="2:5" ht="12.5">
      <c r="B278" s="47"/>
      <c r="E278" s="48"/>
    </row>
    <row r="279" spans="2:5" ht="12.5">
      <c r="B279" s="47"/>
      <c r="E279" s="48"/>
    </row>
    <row r="280" spans="2:5" ht="12.5">
      <c r="B280" s="47"/>
      <c r="E280" s="48"/>
    </row>
    <row r="281" spans="2:5" ht="12.5">
      <c r="B281" s="47"/>
      <c r="E281" s="48"/>
    </row>
    <row r="282" spans="2:5" ht="12.5">
      <c r="B282" s="47"/>
      <c r="E282" s="48"/>
    </row>
    <row r="283" spans="2:5" ht="12.5">
      <c r="B283" s="47"/>
      <c r="E283" s="48"/>
    </row>
    <row r="284" spans="2:5" ht="12.5">
      <c r="B284" s="47"/>
      <c r="E284" s="48"/>
    </row>
    <row r="285" spans="2:5" ht="12.5">
      <c r="B285" s="47"/>
      <c r="E285" s="48"/>
    </row>
    <row r="286" spans="2:5" ht="12.5">
      <c r="B286" s="47"/>
      <c r="E286" s="48"/>
    </row>
    <row r="287" spans="2:5" ht="12.5">
      <c r="B287" s="47"/>
      <c r="E287" s="48"/>
    </row>
    <row r="288" spans="2:5" ht="12.5">
      <c r="B288" s="47"/>
      <c r="E288" s="48"/>
    </row>
    <row r="289" spans="2:5" ht="12.5">
      <c r="B289" s="47"/>
      <c r="E289" s="48"/>
    </row>
    <row r="290" spans="2:5" ht="12.5">
      <c r="B290" s="47"/>
      <c r="E290" s="48"/>
    </row>
    <row r="291" spans="2:5" ht="12.5">
      <c r="B291" s="47"/>
      <c r="E291" s="48"/>
    </row>
    <row r="292" spans="2:5" ht="12.5">
      <c r="B292" s="47"/>
      <c r="E292" s="48"/>
    </row>
    <row r="293" spans="2:5" ht="12.5">
      <c r="B293" s="47"/>
      <c r="E293" s="48"/>
    </row>
    <row r="294" spans="2:5" ht="12.5">
      <c r="B294" s="47"/>
      <c r="E294" s="48"/>
    </row>
    <row r="295" spans="2:5" ht="12.5">
      <c r="B295" s="47"/>
      <c r="E295" s="48"/>
    </row>
    <row r="296" spans="2:5" ht="12.5">
      <c r="B296" s="47"/>
      <c r="E296" s="48"/>
    </row>
    <row r="297" spans="2:5" ht="12.5">
      <c r="B297" s="47"/>
      <c r="E297" s="48"/>
    </row>
    <row r="298" spans="2:5" ht="12.5">
      <c r="B298" s="47"/>
      <c r="E298" s="48"/>
    </row>
    <row r="299" spans="2:5" ht="12.5">
      <c r="B299" s="47"/>
      <c r="E299" s="48"/>
    </row>
    <row r="300" spans="2:5" ht="12.5">
      <c r="B300" s="47"/>
      <c r="E300" s="48"/>
    </row>
    <row r="301" spans="2:5" ht="12.5">
      <c r="B301" s="47"/>
      <c r="E301" s="48"/>
    </row>
    <row r="302" spans="2:5" ht="12.5">
      <c r="B302" s="47"/>
      <c r="E302" s="48"/>
    </row>
    <row r="303" spans="2:5" ht="12.5">
      <c r="B303" s="47"/>
      <c r="E303" s="48"/>
    </row>
    <row r="304" spans="2:5" ht="12.5">
      <c r="B304" s="47"/>
      <c r="E304" s="48"/>
    </row>
    <row r="305" spans="2:5" ht="12.5">
      <c r="B305" s="47"/>
      <c r="E305" s="48"/>
    </row>
    <row r="306" spans="2:5" ht="12.5">
      <c r="B306" s="47"/>
      <c r="E306" s="48"/>
    </row>
    <row r="307" spans="2:5" ht="12.5">
      <c r="B307" s="47"/>
      <c r="E307" s="48"/>
    </row>
    <row r="308" spans="2:5" ht="12.5">
      <c r="B308" s="47"/>
      <c r="E308" s="48"/>
    </row>
    <row r="309" spans="2:5" ht="12.5">
      <c r="B309" s="47"/>
      <c r="E309" s="48"/>
    </row>
    <row r="310" spans="2:5" ht="12.5">
      <c r="B310" s="47"/>
      <c r="E310" s="48"/>
    </row>
    <row r="311" spans="2:5" ht="12.5">
      <c r="B311" s="47"/>
      <c r="E311" s="48"/>
    </row>
    <row r="312" spans="2:5" ht="12.5">
      <c r="B312" s="47"/>
      <c r="E312" s="48"/>
    </row>
    <row r="313" spans="2:5" ht="12.5">
      <c r="B313" s="47"/>
      <c r="E313" s="48"/>
    </row>
    <row r="314" spans="2:5" ht="12.5">
      <c r="B314" s="47"/>
      <c r="E314" s="48"/>
    </row>
    <row r="315" spans="2:5" ht="12.5">
      <c r="B315" s="47"/>
      <c r="E315" s="48"/>
    </row>
    <row r="316" spans="2:5" ht="12.5">
      <c r="B316" s="47"/>
      <c r="E316" s="48"/>
    </row>
    <row r="317" spans="2:5" ht="12.5">
      <c r="B317" s="47"/>
      <c r="E317" s="48"/>
    </row>
    <row r="318" spans="2:5" ht="12.5">
      <c r="B318" s="47"/>
      <c r="E318" s="48"/>
    </row>
    <row r="319" spans="2:5" ht="12.5">
      <c r="B319" s="47"/>
      <c r="E319" s="48"/>
    </row>
    <row r="320" spans="2:5" ht="12.5">
      <c r="B320" s="47"/>
      <c r="E320" s="48"/>
    </row>
    <row r="321" spans="2:5" ht="12.5">
      <c r="B321" s="47"/>
      <c r="E321" s="48"/>
    </row>
    <row r="322" spans="2:5" ht="12.5">
      <c r="B322" s="47"/>
      <c r="E322" s="48"/>
    </row>
    <row r="323" spans="2:5" ht="12.5">
      <c r="B323" s="47"/>
      <c r="E323" s="48"/>
    </row>
    <row r="324" spans="2:5" ht="12.5">
      <c r="B324" s="47"/>
      <c r="E324" s="48"/>
    </row>
    <row r="325" spans="2:5" ht="12.5">
      <c r="B325" s="47"/>
      <c r="E325" s="48"/>
    </row>
    <row r="326" spans="2:5" ht="12.5">
      <c r="B326" s="47"/>
      <c r="E326" s="48"/>
    </row>
    <row r="327" spans="2:5" ht="12.5">
      <c r="B327" s="47"/>
      <c r="E327" s="48"/>
    </row>
    <row r="328" spans="2:5" ht="12.5">
      <c r="B328" s="47"/>
      <c r="E328" s="48"/>
    </row>
    <row r="329" spans="2:5" ht="12.5">
      <c r="B329" s="47"/>
      <c r="E329" s="48"/>
    </row>
    <row r="330" spans="2:5" ht="12.5">
      <c r="B330" s="47"/>
      <c r="E330" s="48"/>
    </row>
    <row r="331" spans="2:5" ht="12.5">
      <c r="B331" s="47"/>
      <c r="E331" s="48"/>
    </row>
    <row r="332" spans="2:5" ht="12.5">
      <c r="B332" s="47"/>
      <c r="E332" s="48"/>
    </row>
    <row r="333" spans="2:5" ht="12.5">
      <c r="B333" s="47"/>
      <c r="E333" s="48"/>
    </row>
    <row r="334" spans="2:5" ht="12.5">
      <c r="B334" s="47"/>
      <c r="E334" s="48"/>
    </row>
    <row r="335" spans="2:5" ht="12.5">
      <c r="B335" s="47"/>
      <c r="E335" s="48"/>
    </row>
    <row r="336" spans="2:5" ht="12.5">
      <c r="B336" s="47"/>
      <c r="E336" s="48"/>
    </row>
    <row r="337" spans="2:5" ht="12.5">
      <c r="B337" s="47"/>
      <c r="E337" s="48"/>
    </row>
    <row r="338" spans="2:5" ht="12.5">
      <c r="B338" s="47"/>
      <c r="E338" s="48"/>
    </row>
    <row r="339" spans="2:5" ht="12.5">
      <c r="B339" s="47"/>
      <c r="E339" s="48"/>
    </row>
    <row r="340" spans="2:5" ht="12.5">
      <c r="B340" s="47"/>
      <c r="E340" s="48"/>
    </row>
    <row r="341" spans="2:5" ht="12.5">
      <c r="B341" s="47"/>
      <c r="E341" s="48"/>
    </row>
    <row r="342" spans="2:5" ht="12.5">
      <c r="B342" s="47"/>
      <c r="E342" s="48"/>
    </row>
    <row r="343" spans="2:5" ht="12.5">
      <c r="B343" s="47"/>
      <c r="E343" s="48"/>
    </row>
    <row r="344" spans="2:5" ht="12.5">
      <c r="B344" s="47"/>
      <c r="E344" s="48"/>
    </row>
    <row r="345" spans="2:5" ht="12.5">
      <c r="B345" s="47"/>
      <c r="E345" s="48"/>
    </row>
    <row r="346" spans="2:5" ht="12.5">
      <c r="B346" s="47"/>
      <c r="E346" s="48"/>
    </row>
    <row r="347" spans="2:5" ht="12.5">
      <c r="B347" s="47"/>
      <c r="E347" s="48"/>
    </row>
    <row r="348" spans="2:5" ht="12.5">
      <c r="B348" s="47"/>
      <c r="E348" s="48"/>
    </row>
    <row r="349" spans="2:5" ht="12.5">
      <c r="B349" s="47"/>
      <c r="E349" s="48"/>
    </row>
    <row r="350" spans="2:5" ht="12.5">
      <c r="B350" s="47"/>
      <c r="E350" s="48"/>
    </row>
    <row r="351" spans="2:5" ht="12.5">
      <c r="B351" s="47"/>
      <c r="E351" s="48"/>
    </row>
    <row r="352" spans="2:5" ht="12.5">
      <c r="B352" s="47"/>
      <c r="E352" s="48"/>
    </row>
    <row r="353" spans="2:5" ht="12.5">
      <c r="B353" s="47"/>
      <c r="E353" s="48"/>
    </row>
    <row r="354" spans="2:5" ht="12.5">
      <c r="B354" s="47"/>
      <c r="E354" s="48"/>
    </row>
    <row r="355" spans="2:5" ht="12.5">
      <c r="B355" s="47"/>
      <c r="E355" s="48"/>
    </row>
    <row r="356" spans="2:5" ht="12.5">
      <c r="B356" s="47"/>
      <c r="E356" s="48"/>
    </row>
    <row r="357" spans="2:5" ht="12.5">
      <c r="B357" s="47"/>
      <c r="E357" s="48"/>
    </row>
    <row r="358" spans="2:5" ht="12.5">
      <c r="B358" s="47"/>
      <c r="E358" s="48"/>
    </row>
    <row r="359" spans="2:5" ht="12.5">
      <c r="B359" s="47"/>
      <c r="E359" s="48"/>
    </row>
    <row r="360" spans="2:5" ht="12.5">
      <c r="B360" s="47"/>
      <c r="E360" s="48"/>
    </row>
    <row r="361" spans="2:5" ht="12.5">
      <c r="B361" s="47"/>
      <c r="E361" s="48"/>
    </row>
    <row r="362" spans="2:5" ht="12.5">
      <c r="B362" s="47"/>
      <c r="E362" s="48"/>
    </row>
    <row r="363" spans="2:5" ht="12.5">
      <c r="B363" s="47"/>
      <c r="E363" s="48"/>
    </row>
    <row r="364" spans="2:5" ht="12.5">
      <c r="B364" s="47"/>
      <c r="E364" s="48"/>
    </row>
    <row r="365" spans="2:5" ht="12.5">
      <c r="B365" s="47"/>
      <c r="E365" s="48"/>
    </row>
    <row r="366" spans="2:5" ht="12.5">
      <c r="B366" s="47"/>
      <c r="E366" s="48"/>
    </row>
    <row r="367" spans="2:5" ht="12.5">
      <c r="B367" s="47"/>
      <c r="E367" s="48"/>
    </row>
    <row r="368" spans="2:5" ht="12.5">
      <c r="B368" s="47"/>
      <c r="E368" s="48"/>
    </row>
    <row r="369" spans="2:5" ht="12.5">
      <c r="B369" s="47"/>
      <c r="E369" s="48"/>
    </row>
    <row r="370" spans="2:5" ht="12.5">
      <c r="B370" s="47"/>
      <c r="E370" s="48"/>
    </row>
    <row r="371" spans="2:5" ht="12.5">
      <c r="B371" s="47"/>
      <c r="E371" s="48"/>
    </row>
    <row r="372" spans="2:5" ht="12.5">
      <c r="B372" s="47"/>
      <c r="E372" s="48"/>
    </row>
    <row r="373" spans="2:5" ht="12.5">
      <c r="B373" s="47"/>
      <c r="E373" s="48"/>
    </row>
    <row r="374" spans="2:5" ht="12.5">
      <c r="B374" s="47"/>
      <c r="E374" s="48"/>
    </row>
    <row r="375" spans="2:5" ht="12.5">
      <c r="B375" s="47"/>
      <c r="E375" s="48"/>
    </row>
    <row r="376" spans="2:5" ht="12.5">
      <c r="B376" s="47"/>
      <c r="E376" s="48"/>
    </row>
    <row r="377" spans="2:5" ht="12.5">
      <c r="B377" s="47"/>
      <c r="E377" s="48"/>
    </row>
    <row r="378" spans="2:5" ht="12.5">
      <c r="B378" s="47"/>
      <c r="E378" s="48"/>
    </row>
    <row r="379" spans="2:5" ht="12.5">
      <c r="B379" s="47"/>
      <c r="E379" s="48"/>
    </row>
    <row r="380" spans="2:5" ht="12.5">
      <c r="B380" s="47"/>
      <c r="E380" s="48"/>
    </row>
    <row r="381" spans="2:5" ht="12.5">
      <c r="B381" s="47"/>
      <c r="E381" s="48"/>
    </row>
    <row r="382" spans="2:5" ht="12.5">
      <c r="B382" s="47"/>
      <c r="E382" s="48"/>
    </row>
    <row r="383" spans="2:5" ht="12.5">
      <c r="B383" s="47"/>
      <c r="E383" s="48"/>
    </row>
    <row r="384" spans="2:5" ht="12.5">
      <c r="B384" s="47"/>
      <c r="E384" s="48"/>
    </row>
    <row r="385" spans="2:5" ht="12.5">
      <c r="B385" s="47"/>
      <c r="E385" s="48"/>
    </row>
    <row r="386" spans="2:5" ht="12.5">
      <c r="B386" s="47"/>
      <c r="E386" s="48"/>
    </row>
    <row r="387" spans="2:5" ht="12.5">
      <c r="B387" s="47"/>
      <c r="E387" s="48"/>
    </row>
    <row r="388" spans="2:5" ht="12.5">
      <c r="B388" s="47"/>
      <c r="E388" s="48"/>
    </row>
    <row r="389" spans="2:5" ht="12.5">
      <c r="B389" s="47"/>
      <c r="E389" s="48"/>
    </row>
    <row r="390" spans="2:5" ht="12.5">
      <c r="B390" s="47"/>
      <c r="E390" s="48"/>
    </row>
    <row r="391" spans="2:5" ht="12.5">
      <c r="B391" s="47"/>
      <c r="E391" s="48"/>
    </row>
    <row r="392" spans="2:5" ht="12.5">
      <c r="B392" s="47"/>
      <c r="E392" s="48"/>
    </row>
    <row r="393" spans="2:5" ht="12.5">
      <c r="B393" s="47"/>
      <c r="E393" s="48"/>
    </row>
    <row r="394" spans="2:5" ht="12.5">
      <c r="B394" s="47"/>
      <c r="E394" s="48"/>
    </row>
    <row r="395" spans="2:5" ht="12.5">
      <c r="B395" s="47"/>
      <c r="E395" s="48"/>
    </row>
    <row r="396" spans="2:5" ht="12.5">
      <c r="B396" s="47"/>
      <c r="E396" s="48"/>
    </row>
    <row r="397" spans="2:5" ht="12.5">
      <c r="B397" s="47"/>
      <c r="E397" s="48"/>
    </row>
    <row r="398" spans="2:5" ht="12.5">
      <c r="B398" s="47"/>
      <c r="E398" s="48"/>
    </row>
    <row r="399" spans="2:5" ht="12.5">
      <c r="B399" s="47"/>
      <c r="E399" s="48"/>
    </row>
    <row r="400" spans="2:5" ht="12.5">
      <c r="B400" s="47"/>
      <c r="E400" s="48"/>
    </row>
    <row r="401" spans="2:5" ht="12.5">
      <c r="B401" s="47"/>
      <c r="E401" s="48"/>
    </row>
    <row r="402" spans="2:5" ht="12.5">
      <c r="B402" s="47"/>
      <c r="E402" s="48"/>
    </row>
    <row r="403" spans="2:5" ht="12.5">
      <c r="B403" s="47"/>
      <c r="E403" s="48"/>
    </row>
    <row r="404" spans="2:5" ht="12.5">
      <c r="B404" s="47"/>
      <c r="E404" s="48"/>
    </row>
    <row r="405" spans="2:5" ht="12.5">
      <c r="B405" s="47"/>
      <c r="E405" s="48"/>
    </row>
    <row r="406" spans="2:5" ht="12.5">
      <c r="B406" s="47"/>
      <c r="E406" s="48"/>
    </row>
    <row r="407" spans="2:5" ht="12.5">
      <c r="B407" s="47"/>
      <c r="E407" s="48"/>
    </row>
    <row r="408" spans="2:5" ht="12.5">
      <c r="B408" s="47"/>
      <c r="E408" s="48"/>
    </row>
    <row r="409" spans="2:5" ht="12.5">
      <c r="B409" s="47"/>
      <c r="E409" s="48"/>
    </row>
    <row r="410" spans="2:5" ht="12.5">
      <c r="B410" s="47"/>
      <c r="E410" s="48"/>
    </row>
    <row r="411" spans="2:5" ht="12.5">
      <c r="B411" s="47"/>
      <c r="E411" s="48"/>
    </row>
    <row r="412" spans="2:5" ht="12.5">
      <c r="B412" s="47"/>
      <c r="E412" s="48"/>
    </row>
    <row r="413" spans="2:5" ht="12.5">
      <c r="B413" s="47"/>
      <c r="E413" s="48"/>
    </row>
    <row r="414" spans="2:5" ht="12.5">
      <c r="B414" s="47"/>
      <c r="E414" s="48"/>
    </row>
    <row r="415" spans="2:5" ht="12.5">
      <c r="B415" s="47"/>
      <c r="E415" s="48"/>
    </row>
    <row r="416" spans="2:5" ht="12.5">
      <c r="B416" s="47"/>
      <c r="E416" s="48"/>
    </row>
    <row r="417" spans="2:5" ht="12.5">
      <c r="B417" s="47"/>
      <c r="E417" s="48"/>
    </row>
    <row r="418" spans="2:5" ht="12.5">
      <c r="B418" s="47"/>
      <c r="E418" s="48"/>
    </row>
    <row r="419" spans="2:5" ht="12.5">
      <c r="B419" s="47"/>
      <c r="E419" s="48"/>
    </row>
    <row r="420" spans="2:5" ht="12.5">
      <c r="B420" s="47"/>
      <c r="E420" s="48"/>
    </row>
    <row r="421" spans="2:5" ht="12.5">
      <c r="B421" s="47"/>
      <c r="E421" s="48"/>
    </row>
    <row r="422" spans="2:5" ht="12.5">
      <c r="B422" s="47"/>
      <c r="E422" s="48"/>
    </row>
    <row r="423" spans="2:5" ht="12.5">
      <c r="B423" s="47"/>
      <c r="E423" s="48"/>
    </row>
    <row r="424" spans="2:5" ht="12.5">
      <c r="B424" s="47"/>
      <c r="E424" s="48"/>
    </row>
    <row r="425" spans="2:5" ht="12.5">
      <c r="B425" s="47"/>
      <c r="E425" s="48"/>
    </row>
    <row r="426" spans="2:5" ht="12.5">
      <c r="B426" s="47"/>
      <c r="E426" s="48"/>
    </row>
    <row r="427" spans="2:5" ht="12.5">
      <c r="B427" s="47"/>
      <c r="E427" s="48"/>
    </row>
    <row r="428" spans="2:5" ht="12.5">
      <c r="B428" s="47"/>
      <c r="E428" s="48"/>
    </row>
    <row r="429" spans="2:5" ht="12.5">
      <c r="B429" s="47"/>
      <c r="E429" s="48"/>
    </row>
    <row r="430" spans="2:5" ht="12.5">
      <c r="B430" s="47"/>
      <c r="E430" s="48"/>
    </row>
    <row r="431" spans="2:5" ht="12.5">
      <c r="B431" s="47"/>
      <c r="E431" s="48"/>
    </row>
    <row r="432" spans="2:5" ht="12.5">
      <c r="B432" s="47"/>
      <c r="E432" s="48"/>
    </row>
    <row r="433" spans="2:5" ht="12.5">
      <c r="B433" s="47"/>
      <c r="E433" s="48"/>
    </row>
    <row r="434" spans="2:5" ht="12.5">
      <c r="B434" s="47"/>
      <c r="E434" s="48"/>
    </row>
    <row r="435" spans="2:5" ht="12.5">
      <c r="B435" s="47"/>
      <c r="E435" s="48"/>
    </row>
    <row r="436" spans="2:5" ht="12.5">
      <c r="B436" s="47"/>
      <c r="E436" s="48"/>
    </row>
    <row r="437" spans="2:5" ht="12.5">
      <c r="B437" s="47"/>
      <c r="E437" s="48"/>
    </row>
    <row r="438" spans="2:5" ht="12.5">
      <c r="B438" s="47"/>
      <c r="E438" s="48"/>
    </row>
    <row r="439" spans="2:5" ht="12.5">
      <c r="B439" s="47"/>
      <c r="E439" s="48"/>
    </row>
    <row r="440" spans="2:5" ht="12.5">
      <c r="B440" s="47"/>
      <c r="E440" s="48"/>
    </row>
    <row r="441" spans="2:5" ht="12.5">
      <c r="B441" s="47"/>
      <c r="E441" s="48"/>
    </row>
    <row r="442" spans="2:5" ht="12.5">
      <c r="B442" s="47"/>
      <c r="E442" s="48"/>
    </row>
    <row r="443" spans="2:5" ht="12.5">
      <c r="B443" s="47"/>
      <c r="E443" s="48"/>
    </row>
    <row r="444" spans="2:5" ht="12.5">
      <c r="B444" s="47"/>
      <c r="E444" s="48"/>
    </row>
    <row r="445" spans="2:5" ht="12.5">
      <c r="B445" s="47"/>
      <c r="E445" s="48"/>
    </row>
    <row r="446" spans="2:5" ht="12.5">
      <c r="B446" s="47"/>
      <c r="E446" s="48"/>
    </row>
    <row r="447" spans="2:5" ht="12.5">
      <c r="B447" s="47"/>
      <c r="E447" s="48"/>
    </row>
    <row r="448" spans="2:5" ht="12.5">
      <c r="B448" s="47"/>
      <c r="E448" s="48"/>
    </row>
    <row r="449" spans="2:5" ht="12.5">
      <c r="B449" s="47"/>
      <c r="E449" s="48"/>
    </row>
    <row r="450" spans="2:5" ht="12.5">
      <c r="B450" s="47"/>
      <c r="E450" s="48"/>
    </row>
    <row r="451" spans="2:5" ht="12.5">
      <c r="B451" s="47"/>
      <c r="E451" s="48"/>
    </row>
    <row r="452" spans="2:5" ht="12.5">
      <c r="B452" s="47"/>
      <c r="E452" s="48"/>
    </row>
    <row r="453" spans="2:5" ht="12.5">
      <c r="B453" s="47"/>
      <c r="E453" s="48"/>
    </row>
    <row r="454" spans="2:5" ht="12.5">
      <c r="B454" s="47"/>
      <c r="E454" s="48"/>
    </row>
    <row r="455" spans="2:5" ht="12.5">
      <c r="B455" s="47"/>
      <c r="E455" s="48"/>
    </row>
    <row r="456" spans="2:5" ht="12.5">
      <c r="B456" s="47"/>
      <c r="E456" s="48"/>
    </row>
    <row r="457" spans="2:5" ht="12.5">
      <c r="B457" s="47"/>
      <c r="E457" s="48"/>
    </row>
    <row r="458" spans="2:5" ht="12.5">
      <c r="B458" s="47"/>
      <c r="E458" s="48"/>
    </row>
    <row r="459" spans="2:5" ht="12.5">
      <c r="B459" s="47"/>
      <c r="E459" s="48"/>
    </row>
    <row r="460" spans="2:5" ht="12.5">
      <c r="B460" s="47"/>
      <c r="E460" s="48"/>
    </row>
    <row r="461" spans="2:5" ht="12.5">
      <c r="B461" s="47"/>
      <c r="E461" s="48"/>
    </row>
    <row r="462" spans="2:5" ht="12.5">
      <c r="B462" s="47"/>
      <c r="E462" s="48"/>
    </row>
    <row r="463" spans="2:5" ht="12.5">
      <c r="B463" s="47"/>
      <c r="E463" s="48"/>
    </row>
    <row r="464" spans="2:5" ht="12.5">
      <c r="B464" s="47"/>
      <c r="E464" s="48"/>
    </row>
    <row r="465" spans="2:5" ht="12.5">
      <c r="B465" s="47"/>
      <c r="E465" s="48"/>
    </row>
    <row r="466" spans="2:5" ht="12.5">
      <c r="B466" s="47"/>
      <c r="E466" s="48"/>
    </row>
    <row r="467" spans="2:5" ht="12.5">
      <c r="B467" s="47"/>
      <c r="E467" s="48"/>
    </row>
    <row r="468" spans="2:5" ht="12.5">
      <c r="B468" s="47"/>
      <c r="E468" s="48"/>
    </row>
    <row r="469" spans="2:5" ht="12.5">
      <c r="B469" s="47"/>
      <c r="E469" s="48"/>
    </row>
    <row r="470" spans="2:5" ht="12.5">
      <c r="B470" s="47"/>
      <c r="E470" s="48"/>
    </row>
    <row r="471" spans="2:5" ht="12.5">
      <c r="B471" s="47"/>
      <c r="E471" s="48"/>
    </row>
    <row r="472" spans="2:5" ht="12.5">
      <c r="B472" s="47"/>
      <c r="E472" s="48"/>
    </row>
    <row r="473" spans="2:5" ht="12.5">
      <c r="B473" s="47"/>
      <c r="E473" s="48"/>
    </row>
    <row r="474" spans="2:5" ht="12.5">
      <c r="B474" s="47"/>
      <c r="E474" s="48"/>
    </row>
    <row r="475" spans="2:5" ht="12.5">
      <c r="B475" s="47"/>
      <c r="E475" s="48"/>
    </row>
    <row r="476" spans="2:5" ht="12.5">
      <c r="B476" s="47"/>
      <c r="E476" s="48"/>
    </row>
    <row r="477" spans="2:5" ht="12.5">
      <c r="B477" s="47"/>
      <c r="E477" s="48"/>
    </row>
    <row r="478" spans="2:5" ht="12.5">
      <c r="B478" s="47"/>
      <c r="E478" s="48"/>
    </row>
    <row r="479" spans="2:5" ht="12.5">
      <c r="B479" s="47"/>
      <c r="E479" s="48"/>
    </row>
    <row r="480" spans="2:5" ht="12.5">
      <c r="B480" s="47"/>
      <c r="E480" s="48"/>
    </row>
    <row r="481" spans="2:5" ht="12.5">
      <c r="B481" s="47"/>
      <c r="E481" s="48"/>
    </row>
    <row r="482" spans="2:5" ht="12.5">
      <c r="B482" s="47"/>
      <c r="E482" s="48"/>
    </row>
    <row r="483" spans="2:5" ht="12.5">
      <c r="B483" s="47"/>
      <c r="E483" s="48"/>
    </row>
    <row r="484" spans="2:5" ht="12.5">
      <c r="B484" s="47"/>
      <c r="E484" s="48"/>
    </row>
    <row r="485" spans="2:5" ht="12.5">
      <c r="B485" s="47"/>
      <c r="E485" s="48"/>
    </row>
    <row r="486" spans="2:5" ht="12.5">
      <c r="B486" s="47"/>
      <c r="E486" s="48"/>
    </row>
    <row r="487" spans="2:5" ht="12.5">
      <c r="B487" s="47"/>
      <c r="E487" s="48"/>
    </row>
    <row r="488" spans="2:5" ht="12.5">
      <c r="B488" s="47"/>
      <c r="E488" s="48"/>
    </row>
    <row r="489" spans="2:5" ht="12.5">
      <c r="B489" s="47"/>
      <c r="E489" s="48"/>
    </row>
    <row r="490" spans="2:5" ht="12.5">
      <c r="B490" s="47"/>
      <c r="E490" s="48"/>
    </row>
    <row r="491" spans="2:5" ht="12.5">
      <c r="B491" s="47"/>
      <c r="E491" s="48"/>
    </row>
    <row r="492" spans="2:5" ht="12.5">
      <c r="B492" s="47"/>
      <c r="E492" s="48"/>
    </row>
    <row r="493" spans="2:5" ht="12.5">
      <c r="B493" s="47"/>
      <c r="E493" s="48"/>
    </row>
    <row r="494" spans="2:5" ht="12.5">
      <c r="B494" s="47"/>
      <c r="E494" s="48"/>
    </row>
    <row r="495" spans="2:5" ht="12.5">
      <c r="B495" s="47"/>
      <c r="E495" s="48"/>
    </row>
    <row r="496" spans="2:5" ht="12.5">
      <c r="B496" s="47"/>
      <c r="E496" s="48"/>
    </row>
    <row r="497" spans="2:5" ht="12.5">
      <c r="B497" s="47"/>
      <c r="E497" s="48"/>
    </row>
    <row r="498" spans="2:5" ht="12.5">
      <c r="B498" s="47"/>
      <c r="E498" s="48"/>
    </row>
    <row r="499" spans="2:5" ht="12.5">
      <c r="B499" s="47"/>
      <c r="E499" s="48"/>
    </row>
    <row r="500" spans="2:5" ht="12.5">
      <c r="B500" s="47"/>
      <c r="E500" s="48"/>
    </row>
    <row r="501" spans="2:5" ht="12.5">
      <c r="B501" s="47"/>
      <c r="E501" s="48"/>
    </row>
    <row r="502" spans="2:5" ht="12.5">
      <c r="B502" s="47"/>
      <c r="E502" s="48"/>
    </row>
    <row r="503" spans="2:5" ht="12.5">
      <c r="B503" s="47"/>
      <c r="E503" s="48"/>
    </row>
    <row r="504" spans="2:5" ht="12.5">
      <c r="B504" s="47"/>
      <c r="E504" s="48"/>
    </row>
    <row r="505" spans="2:5" ht="12.5">
      <c r="B505" s="47"/>
      <c r="E505" s="48"/>
    </row>
    <row r="506" spans="2:5" ht="12.5">
      <c r="B506" s="47"/>
      <c r="E506" s="48"/>
    </row>
    <row r="507" spans="2:5" ht="12.5">
      <c r="B507" s="47"/>
      <c r="E507" s="48"/>
    </row>
    <row r="508" spans="2:5" ht="12.5">
      <c r="B508" s="47"/>
      <c r="E508" s="48"/>
    </row>
    <row r="509" spans="2:5" ht="12.5">
      <c r="B509" s="47"/>
      <c r="E509" s="48"/>
    </row>
    <row r="510" spans="2:5" ht="12.5">
      <c r="B510" s="47"/>
      <c r="E510" s="48"/>
    </row>
    <row r="511" spans="2:5" ht="12.5">
      <c r="B511" s="47"/>
      <c r="E511" s="48"/>
    </row>
    <row r="512" spans="2:5" ht="12.5">
      <c r="B512" s="47"/>
      <c r="E512" s="48"/>
    </row>
    <row r="513" spans="2:5" ht="12.5">
      <c r="B513" s="47"/>
      <c r="E513" s="48"/>
    </row>
    <row r="514" spans="2:5" ht="12.5">
      <c r="B514" s="47"/>
      <c r="E514" s="48"/>
    </row>
    <row r="515" spans="2:5" ht="12.5">
      <c r="B515" s="47"/>
      <c r="E515" s="48"/>
    </row>
    <row r="516" spans="2:5" ht="12.5">
      <c r="B516" s="47"/>
      <c r="E516" s="48"/>
    </row>
    <row r="517" spans="2:5" ht="12.5">
      <c r="B517" s="47"/>
      <c r="E517" s="48"/>
    </row>
    <row r="518" spans="2:5" ht="12.5">
      <c r="B518" s="47"/>
      <c r="E518" s="48"/>
    </row>
    <row r="519" spans="2:5" ht="12.5">
      <c r="B519" s="47"/>
      <c r="E519" s="48"/>
    </row>
    <row r="520" spans="2:5" ht="12.5">
      <c r="B520" s="47"/>
      <c r="E520" s="48"/>
    </row>
    <row r="521" spans="2:5" ht="12.5">
      <c r="B521" s="47"/>
      <c r="E521" s="48"/>
    </row>
    <row r="522" spans="2:5" ht="12.5">
      <c r="B522" s="47"/>
      <c r="E522" s="48"/>
    </row>
    <row r="523" spans="2:5" ht="12.5">
      <c r="B523" s="47"/>
      <c r="E523" s="48"/>
    </row>
    <row r="524" spans="2:5" ht="12.5">
      <c r="B524" s="47"/>
      <c r="E524" s="48"/>
    </row>
    <row r="525" spans="2:5" ht="12.5">
      <c r="B525" s="47"/>
      <c r="E525" s="48"/>
    </row>
    <row r="526" spans="2:5" ht="12.5">
      <c r="B526" s="47"/>
      <c r="E526" s="48"/>
    </row>
    <row r="527" spans="2:5" ht="12.5">
      <c r="B527" s="47"/>
      <c r="E527" s="48"/>
    </row>
    <row r="528" spans="2:5" ht="12.5">
      <c r="B528" s="47"/>
      <c r="E528" s="48"/>
    </row>
    <row r="529" spans="2:5" ht="12.5">
      <c r="B529" s="47"/>
      <c r="E529" s="48"/>
    </row>
    <row r="530" spans="2:5" ht="12.5">
      <c r="B530" s="47"/>
      <c r="E530" s="48"/>
    </row>
    <row r="531" spans="2:5" ht="12.5">
      <c r="B531" s="47"/>
      <c r="E531" s="48"/>
    </row>
    <row r="532" spans="2:5" ht="12.5">
      <c r="B532" s="47"/>
      <c r="E532" s="48"/>
    </row>
    <row r="533" spans="2:5" ht="12.5">
      <c r="B533" s="47"/>
      <c r="E533" s="48"/>
    </row>
    <row r="534" spans="2:5" ht="12.5">
      <c r="B534" s="47"/>
      <c r="E534" s="48"/>
    </row>
    <row r="535" spans="2:5" ht="12.5">
      <c r="B535" s="47"/>
      <c r="E535" s="48"/>
    </row>
    <row r="536" spans="2:5" ht="12.5">
      <c r="B536" s="47"/>
      <c r="E536" s="48"/>
    </row>
    <row r="537" spans="2:5" ht="12.5">
      <c r="B537" s="47"/>
      <c r="E537" s="48"/>
    </row>
    <row r="538" spans="2:5" ht="12.5">
      <c r="B538" s="47"/>
      <c r="E538" s="48"/>
    </row>
    <row r="539" spans="2:5" ht="12.5">
      <c r="B539" s="47"/>
      <c r="E539" s="48"/>
    </row>
    <row r="540" spans="2:5" ht="12.5">
      <c r="B540" s="47"/>
      <c r="E540" s="48"/>
    </row>
    <row r="541" spans="2:5" ht="12.5">
      <c r="B541" s="47"/>
      <c r="E541" s="48"/>
    </row>
    <row r="542" spans="2:5" ht="12.5">
      <c r="B542" s="47"/>
      <c r="E542" s="48"/>
    </row>
    <row r="543" spans="2:5" ht="12.5">
      <c r="B543" s="47"/>
      <c r="E543" s="48"/>
    </row>
    <row r="544" spans="2:5" ht="12.5">
      <c r="B544" s="47"/>
      <c r="E544" s="48"/>
    </row>
    <row r="545" spans="2:5" ht="12.5">
      <c r="B545" s="47"/>
      <c r="E545" s="48"/>
    </row>
    <row r="546" spans="2:5" ht="12.5">
      <c r="B546" s="47"/>
      <c r="E546" s="48"/>
    </row>
    <row r="547" spans="2:5" ht="12.5">
      <c r="B547" s="47"/>
      <c r="E547" s="48"/>
    </row>
    <row r="548" spans="2:5" ht="12.5">
      <c r="B548" s="47"/>
      <c r="E548" s="48"/>
    </row>
    <row r="549" spans="2:5" ht="12.5">
      <c r="B549" s="47"/>
      <c r="E549" s="48"/>
    </row>
    <row r="550" spans="2:5" ht="12.5">
      <c r="B550" s="47"/>
      <c r="E550" s="48"/>
    </row>
    <row r="551" spans="2:5" ht="12.5">
      <c r="B551" s="47"/>
      <c r="E551" s="48"/>
    </row>
    <row r="552" spans="2:5" ht="12.5">
      <c r="B552" s="47"/>
      <c r="E552" s="48"/>
    </row>
    <row r="553" spans="2:5" ht="12.5">
      <c r="B553" s="47"/>
      <c r="E553" s="48"/>
    </row>
    <row r="554" spans="2:5" ht="12.5">
      <c r="B554" s="47"/>
      <c r="E554" s="48"/>
    </row>
    <row r="555" spans="2:5" ht="12.5">
      <c r="B555" s="47"/>
      <c r="E555" s="48"/>
    </row>
    <row r="556" spans="2:5" ht="12.5">
      <c r="B556" s="47"/>
      <c r="E556" s="48"/>
    </row>
    <row r="557" spans="2:5" ht="12.5">
      <c r="B557" s="47"/>
      <c r="E557" s="48"/>
    </row>
    <row r="558" spans="2:5" ht="12.5">
      <c r="B558" s="47"/>
      <c r="E558" s="48"/>
    </row>
    <row r="559" spans="2:5" ht="12.5">
      <c r="B559" s="47"/>
      <c r="E559" s="48"/>
    </row>
    <row r="560" spans="2:5" ht="12.5">
      <c r="B560" s="47"/>
      <c r="E560" s="48"/>
    </row>
    <row r="561" spans="2:5" ht="12.5">
      <c r="B561" s="47"/>
      <c r="E561" s="48"/>
    </row>
    <row r="562" spans="2:5" ht="12.5">
      <c r="B562" s="47"/>
      <c r="E562" s="48"/>
    </row>
    <row r="563" spans="2:5" ht="12.5">
      <c r="B563" s="47"/>
      <c r="E563" s="48"/>
    </row>
    <row r="564" spans="2:5" ht="12.5">
      <c r="B564" s="47"/>
      <c r="E564" s="48"/>
    </row>
    <row r="565" spans="2:5" ht="12.5">
      <c r="B565" s="47"/>
      <c r="E565" s="48"/>
    </row>
    <row r="566" spans="2:5" ht="12.5">
      <c r="B566" s="47"/>
      <c r="E566" s="48"/>
    </row>
    <row r="567" spans="2:5" ht="12.5">
      <c r="B567" s="47"/>
      <c r="E567" s="48"/>
    </row>
    <row r="568" spans="2:5" ht="12.5">
      <c r="B568" s="47"/>
      <c r="E568" s="48"/>
    </row>
    <row r="569" spans="2:5" ht="12.5">
      <c r="B569" s="47"/>
      <c r="E569" s="48"/>
    </row>
    <row r="570" spans="2:5" ht="12.5">
      <c r="B570" s="47"/>
      <c r="E570" s="48"/>
    </row>
    <row r="571" spans="2:5" ht="12.5">
      <c r="B571" s="47"/>
      <c r="E571" s="48"/>
    </row>
    <row r="572" spans="2:5" ht="12.5">
      <c r="B572" s="47"/>
      <c r="E572" s="48"/>
    </row>
    <row r="573" spans="2:5" ht="12.5">
      <c r="B573" s="47"/>
      <c r="E573" s="48"/>
    </row>
    <row r="574" spans="2:5" ht="12.5">
      <c r="B574" s="47"/>
      <c r="E574" s="48"/>
    </row>
    <row r="575" spans="2:5" ht="12.5">
      <c r="B575" s="47"/>
      <c r="E575" s="48"/>
    </row>
    <row r="576" spans="2:5" ht="12.5">
      <c r="B576" s="47"/>
      <c r="E576" s="48"/>
    </row>
    <row r="577" spans="2:5" ht="12.5">
      <c r="B577" s="47"/>
      <c r="E577" s="48"/>
    </row>
    <row r="578" spans="2:5" ht="12.5">
      <c r="B578" s="47"/>
      <c r="E578" s="48"/>
    </row>
    <row r="579" spans="2:5" ht="12.5">
      <c r="B579" s="47"/>
      <c r="E579" s="48"/>
    </row>
    <row r="580" spans="2:5" ht="12.5">
      <c r="B580" s="47"/>
      <c r="E580" s="48"/>
    </row>
    <row r="581" spans="2:5" ht="12.5">
      <c r="B581" s="47"/>
      <c r="E581" s="48"/>
    </row>
    <row r="582" spans="2:5" ht="12.5">
      <c r="B582" s="47"/>
      <c r="E582" s="48"/>
    </row>
    <row r="583" spans="2:5" ht="12.5">
      <c r="B583" s="47"/>
      <c r="E583" s="48"/>
    </row>
    <row r="584" spans="2:5" ht="12.5">
      <c r="B584" s="47"/>
      <c r="E584" s="48"/>
    </row>
    <row r="585" spans="2:5" ht="12.5">
      <c r="B585" s="47"/>
      <c r="E585" s="48"/>
    </row>
    <row r="586" spans="2:5" ht="12.5">
      <c r="B586" s="47"/>
      <c r="E586" s="48"/>
    </row>
    <row r="587" spans="2:5" ht="12.5">
      <c r="B587" s="47"/>
      <c r="E587" s="48"/>
    </row>
    <row r="588" spans="2:5" ht="12.5">
      <c r="B588" s="47"/>
      <c r="E588" s="48"/>
    </row>
    <row r="589" spans="2:5" ht="12.5">
      <c r="B589" s="47"/>
      <c r="E589" s="48"/>
    </row>
    <row r="590" spans="2:5" ht="12.5">
      <c r="B590" s="47"/>
      <c r="E590" s="48"/>
    </row>
    <row r="591" spans="2:5" ht="12.5">
      <c r="B591" s="47"/>
      <c r="E591" s="48"/>
    </row>
    <row r="592" spans="2:5" ht="12.5">
      <c r="B592" s="47"/>
      <c r="E592" s="48"/>
    </row>
    <row r="593" spans="2:5" ht="12.5">
      <c r="B593" s="47"/>
      <c r="E593" s="48"/>
    </row>
    <row r="594" spans="2:5" ht="12.5">
      <c r="B594" s="47"/>
      <c r="E594" s="48"/>
    </row>
    <row r="595" spans="2:5" ht="12.5">
      <c r="B595" s="47"/>
      <c r="E595" s="48"/>
    </row>
    <row r="596" spans="2:5" ht="12.5">
      <c r="B596" s="47"/>
      <c r="E596" s="48"/>
    </row>
    <row r="597" spans="2:5" ht="12.5">
      <c r="B597" s="47"/>
      <c r="E597" s="48"/>
    </row>
    <row r="598" spans="2:5" ht="12.5">
      <c r="B598" s="47"/>
      <c r="E598" s="48"/>
    </row>
    <row r="599" spans="2:5" ht="12.5">
      <c r="B599" s="47"/>
      <c r="E599" s="48"/>
    </row>
    <row r="600" spans="2:5" ht="12.5">
      <c r="B600" s="47"/>
      <c r="E600" s="48"/>
    </row>
    <row r="601" spans="2:5" ht="12.5">
      <c r="B601" s="47"/>
      <c r="E601" s="48"/>
    </row>
    <row r="602" spans="2:5" ht="12.5">
      <c r="B602" s="47"/>
      <c r="E602" s="48"/>
    </row>
    <row r="603" spans="2:5" ht="12.5">
      <c r="B603" s="47"/>
      <c r="E603" s="48"/>
    </row>
    <row r="604" spans="2:5" ht="12.5">
      <c r="B604" s="47"/>
      <c r="E604" s="48"/>
    </row>
    <row r="605" spans="2:5" ht="12.5">
      <c r="B605" s="47"/>
      <c r="E605" s="48"/>
    </row>
    <row r="606" spans="2:5" ht="12.5">
      <c r="B606" s="47"/>
      <c r="E606" s="48"/>
    </row>
    <row r="607" spans="2:5" ht="12.5">
      <c r="B607" s="47"/>
      <c r="E607" s="48"/>
    </row>
    <row r="608" spans="2:5" ht="12.5">
      <c r="B608" s="47"/>
      <c r="E608" s="48"/>
    </row>
    <row r="609" spans="2:5" ht="12.5">
      <c r="B609" s="47"/>
      <c r="E609" s="48"/>
    </row>
    <row r="610" spans="2:5" ht="12.5">
      <c r="B610" s="47"/>
      <c r="E610" s="48"/>
    </row>
    <row r="611" spans="2:5" ht="12.5">
      <c r="B611" s="47"/>
      <c r="E611" s="48"/>
    </row>
    <row r="612" spans="2:5" ht="12.5">
      <c r="B612" s="47"/>
      <c r="E612" s="48"/>
    </row>
    <row r="613" spans="2:5" ht="12.5">
      <c r="B613" s="47"/>
      <c r="E613" s="48"/>
    </row>
    <row r="614" spans="2:5" ht="12.5">
      <c r="B614" s="47"/>
      <c r="E614" s="48"/>
    </row>
    <row r="615" spans="2:5" ht="12.5">
      <c r="B615" s="47"/>
      <c r="E615" s="48"/>
    </row>
    <row r="616" spans="2:5" ht="12.5">
      <c r="B616" s="47"/>
      <c r="E616" s="48"/>
    </row>
    <row r="617" spans="2:5" ht="12.5">
      <c r="B617" s="47"/>
      <c r="E617" s="48"/>
    </row>
    <row r="618" spans="2:5" ht="12.5">
      <c r="B618" s="47"/>
      <c r="E618" s="48"/>
    </row>
    <row r="619" spans="2:5" ht="12.5">
      <c r="B619" s="47"/>
      <c r="E619" s="48"/>
    </row>
    <row r="620" spans="2:5" ht="12.5">
      <c r="B620" s="47"/>
      <c r="E620" s="48"/>
    </row>
    <row r="621" spans="2:5" ht="12.5">
      <c r="B621" s="47"/>
      <c r="E621" s="48"/>
    </row>
    <row r="622" spans="2:5" ht="12.5">
      <c r="B622" s="47"/>
      <c r="E622" s="48"/>
    </row>
    <row r="623" spans="2:5" ht="12.5">
      <c r="B623" s="47"/>
      <c r="E623" s="48"/>
    </row>
    <row r="624" spans="2:5" ht="12.5">
      <c r="B624" s="47"/>
      <c r="E624" s="48"/>
    </row>
    <row r="625" spans="2:5" ht="12.5">
      <c r="B625" s="47"/>
      <c r="E625" s="48"/>
    </row>
    <row r="626" spans="2:5" ht="12.5">
      <c r="B626" s="47"/>
      <c r="E626" s="48"/>
    </row>
    <row r="627" spans="2:5" ht="12.5">
      <c r="B627" s="47"/>
      <c r="E627" s="48"/>
    </row>
    <row r="628" spans="2:5" ht="12.5">
      <c r="B628" s="47"/>
      <c r="E628" s="48"/>
    </row>
    <row r="629" spans="2:5" ht="12.5">
      <c r="B629" s="47"/>
      <c r="E629" s="48"/>
    </row>
    <row r="630" spans="2:5" ht="12.5">
      <c r="B630" s="47"/>
      <c r="E630" s="48"/>
    </row>
    <row r="631" spans="2:5" ht="12.5">
      <c r="B631" s="47"/>
      <c r="E631" s="48"/>
    </row>
    <row r="632" spans="2:5" ht="12.5">
      <c r="B632" s="47"/>
      <c r="E632" s="48"/>
    </row>
    <row r="633" spans="2:5" ht="12.5">
      <c r="B633" s="47"/>
      <c r="E633" s="48"/>
    </row>
    <row r="634" spans="2:5" ht="12.5">
      <c r="B634" s="47"/>
      <c r="E634" s="48"/>
    </row>
    <row r="635" spans="2:5" ht="12.5">
      <c r="B635" s="47"/>
      <c r="E635" s="48"/>
    </row>
    <row r="636" spans="2:5" ht="12.5">
      <c r="B636" s="47"/>
      <c r="E636" s="48"/>
    </row>
    <row r="637" spans="2:5" ht="12.5">
      <c r="B637" s="47"/>
      <c r="E637" s="48"/>
    </row>
    <row r="638" spans="2:5" ht="12.5">
      <c r="B638" s="47"/>
      <c r="E638" s="48"/>
    </row>
    <row r="639" spans="2:5" ht="12.5">
      <c r="B639" s="47"/>
      <c r="E639" s="48"/>
    </row>
    <row r="640" spans="2:5" ht="12.5">
      <c r="B640" s="47"/>
      <c r="E640" s="48"/>
    </row>
    <row r="641" spans="2:5" ht="12.5">
      <c r="B641" s="47"/>
      <c r="E641" s="48"/>
    </row>
    <row r="642" spans="2:5" ht="12.5">
      <c r="B642" s="47"/>
      <c r="E642" s="48"/>
    </row>
    <row r="643" spans="2:5" ht="12.5">
      <c r="B643" s="47"/>
      <c r="E643" s="48"/>
    </row>
    <row r="644" spans="2:5" ht="12.5">
      <c r="B644" s="47"/>
      <c r="E644" s="48"/>
    </row>
    <row r="645" spans="2:5" ht="12.5">
      <c r="B645" s="47"/>
      <c r="E645" s="48"/>
    </row>
    <row r="646" spans="2:5" ht="12.5">
      <c r="B646" s="47"/>
      <c r="E646" s="48"/>
    </row>
    <row r="647" spans="2:5" ht="12.5">
      <c r="B647" s="47"/>
      <c r="E647" s="48"/>
    </row>
    <row r="648" spans="2:5" ht="12.5">
      <c r="B648" s="47"/>
      <c r="E648" s="48"/>
    </row>
    <row r="649" spans="2:5" ht="12.5">
      <c r="B649" s="47"/>
      <c r="E649" s="48"/>
    </row>
    <row r="650" spans="2:5" ht="12.5">
      <c r="B650" s="47"/>
      <c r="E650" s="48"/>
    </row>
    <row r="651" spans="2:5" ht="12.5">
      <c r="B651" s="47"/>
      <c r="E651" s="48"/>
    </row>
    <row r="652" spans="2:5" ht="12.5">
      <c r="B652" s="47"/>
      <c r="E652" s="48"/>
    </row>
    <row r="653" spans="2:5" ht="12.5">
      <c r="B653" s="47"/>
      <c r="E653" s="48"/>
    </row>
    <row r="654" spans="2:5" ht="12.5">
      <c r="B654" s="47"/>
      <c r="E654" s="48"/>
    </row>
    <row r="655" spans="2:5" ht="12.5">
      <c r="B655" s="47"/>
      <c r="E655" s="48"/>
    </row>
    <row r="656" spans="2:5" ht="12.5">
      <c r="B656" s="47"/>
      <c r="E656" s="48"/>
    </row>
    <row r="657" spans="2:5" ht="12.5">
      <c r="B657" s="47"/>
      <c r="E657" s="48"/>
    </row>
    <row r="658" spans="2:5" ht="12.5">
      <c r="B658" s="47"/>
      <c r="E658" s="48"/>
    </row>
    <row r="659" spans="2:5" ht="12.5">
      <c r="B659" s="47"/>
      <c r="E659" s="48"/>
    </row>
    <row r="660" spans="2:5" ht="12.5">
      <c r="B660" s="47"/>
      <c r="E660" s="48"/>
    </row>
    <row r="661" spans="2:5" ht="12.5">
      <c r="B661" s="47"/>
      <c r="E661" s="48"/>
    </row>
    <row r="662" spans="2:5" ht="12.5">
      <c r="B662" s="47"/>
      <c r="E662" s="48"/>
    </row>
    <row r="663" spans="2:5" ht="12.5">
      <c r="B663" s="47"/>
      <c r="E663" s="48"/>
    </row>
    <row r="664" spans="2:5" ht="12.5">
      <c r="B664" s="47"/>
      <c r="E664" s="48"/>
    </row>
    <row r="665" spans="2:5" ht="12.5">
      <c r="B665" s="47"/>
      <c r="E665" s="48"/>
    </row>
    <row r="666" spans="2:5" ht="12.5">
      <c r="B666" s="47"/>
      <c r="E666" s="48"/>
    </row>
    <row r="667" spans="2:5" ht="12.5">
      <c r="B667" s="47"/>
      <c r="E667" s="48"/>
    </row>
    <row r="668" spans="2:5" ht="12.5">
      <c r="B668" s="47"/>
      <c r="E668" s="48"/>
    </row>
    <row r="669" spans="2:5" ht="12.5">
      <c r="B669" s="47"/>
      <c r="E669" s="48"/>
    </row>
    <row r="670" spans="2:5" ht="12.5">
      <c r="B670" s="47"/>
      <c r="E670" s="48"/>
    </row>
    <row r="671" spans="2:5" ht="12.5">
      <c r="B671" s="47"/>
      <c r="E671" s="48"/>
    </row>
    <row r="672" spans="2:5" ht="12.5">
      <c r="B672" s="47"/>
      <c r="E672" s="48"/>
    </row>
    <row r="673" spans="2:5" ht="12.5">
      <c r="B673" s="47"/>
      <c r="E673" s="48"/>
    </row>
    <row r="674" spans="2:5" ht="12.5">
      <c r="B674" s="47"/>
      <c r="E674" s="48"/>
    </row>
    <row r="675" spans="2:5" ht="12.5">
      <c r="B675" s="47"/>
      <c r="E675" s="48"/>
    </row>
    <row r="676" spans="2:5" ht="12.5">
      <c r="B676" s="47"/>
      <c r="E676" s="48"/>
    </row>
    <row r="677" spans="2:5" ht="12.5">
      <c r="B677" s="47"/>
      <c r="E677" s="48"/>
    </row>
    <row r="678" spans="2:5" ht="12.5">
      <c r="B678" s="47"/>
      <c r="E678" s="48"/>
    </row>
    <row r="679" spans="2:5" ht="12.5">
      <c r="B679" s="47"/>
      <c r="E679" s="48"/>
    </row>
    <row r="680" spans="2:5" ht="12.5">
      <c r="B680" s="47"/>
      <c r="E680" s="48"/>
    </row>
    <row r="681" spans="2:5" ht="12.5">
      <c r="B681" s="47"/>
      <c r="E681" s="48"/>
    </row>
    <row r="682" spans="2:5" ht="12.5">
      <c r="B682" s="47"/>
      <c r="E682" s="48"/>
    </row>
    <row r="683" spans="2:5" ht="12.5">
      <c r="B683" s="47"/>
      <c r="E683" s="48"/>
    </row>
    <row r="684" spans="2:5" ht="12.5">
      <c r="B684" s="47"/>
      <c r="E684" s="48"/>
    </row>
    <row r="685" spans="2:5" ht="12.5">
      <c r="B685" s="47"/>
      <c r="E685" s="48"/>
    </row>
    <row r="686" spans="2:5" ht="12.5">
      <c r="B686" s="47"/>
      <c r="E686" s="48"/>
    </row>
    <row r="687" spans="2:5" ht="12.5">
      <c r="B687" s="47"/>
      <c r="E687" s="48"/>
    </row>
    <row r="688" spans="2:5" ht="12.5">
      <c r="B688" s="47"/>
      <c r="E688" s="48"/>
    </row>
    <row r="689" spans="2:5" ht="12.5">
      <c r="B689" s="47"/>
      <c r="E689" s="48"/>
    </row>
    <row r="690" spans="2:5" ht="12.5">
      <c r="B690" s="47"/>
      <c r="E690" s="48"/>
    </row>
    <row r="691" spans="2:5" ht="12.5">
      <c r="B691" s="47"/>
      <c r="E691" s="48"/>
    </row>
    <row r="692" spans="2:5" ht="12.5">
      <c r="B692" s="47"/>
      <c r="E692" s="48"/>
    </row>
    <row r="693" spans="2:5" ht="12.5">
      <c r="B693" s="47"/>
      <c r="E693" s="48"/>
    </row>
    <row r="694" spans="2:5" ht="12.5">
      <c r="B694" s="47"/>
      <c r="E694" s="48"/>
    </row>
    <row r="695" spans="2:5" ht="12.5">
      <c r="B695" s="47"/>
      <c r="E695" s="48"/>
    </row>
    <row r="696" spans="2:5" ht="12.5">
      <c r="B696" s="47"/>
      <c r="E696" s="48"/>
    </row>
    <row r="697" spans="2:5" ht="12.5">
      <c r="B697" s="47"/>
      <c r="E697" s="48"/>
    </row>
    <row r="698" spans="2:5" ht="12.5">
      <c r="B698" s="47"/>
      <c r="E698" s="48"/>
    </row>
    <row r="699" spans="2:5" ht="12.5">
      <c r="B699" s="47"/>
      <c r="E699" s="48"/>
    </row>
    <row r="700" spans="2:5" ht="12.5">
      <c r="B700" s="47"/>
      <c r="E700" s="48"/>
    </row>
    <row r="701" spans="2:5" ht="12.5">
      <c r="B701" s="47"/>
      <c r="E701" s="48"/>
    </row>
    <row r="702" spans="2:5" ht="12.5">
      <c r="B702" s="47"/>
      <c r="E702" s="48"/>
    </row>
    <row r="703" spans="2:5" ht="12.5">
      <c r="B703" s="47"/>
      <c r="E703" s="48"/>
    </row>
    <row r="704" spans="2:5" ht="12.5">
      <c r="B704" s="47"/>
      <c r="E704" s="48"/>
    </row>
    <row r="705" spans="2:5" ht="12.5">
      <c r="B705" s="47"/>
      <c r="E705" s="48"/>
    </row>
    <row r="706" spans="2:5" ht="12.5">
      <c r="B706" s="47"/>
      <c r="E706" s="48"/>
    </row>
    <row r="707" spans="2:5" ht="12.5">
      <c r="B707" s="47"/>
      <c r="E707" s="48"/>
    </row>
    <row r="708" spans="2:5" ht="12.5">
      <c r="B708" s="47"/>
      <c r="E708" s="48"/>
    </row>
    <row r="709" spans="2:5" ht="12.5">
      <c r="B709" s="47"/>
      <c r="E709" s="48"/>
    </row>
    <row r="710" spans="2:5" ht="12.5">
      <c r="B710" s="47"/>
      <c r="E710" s="48"/>
    </row>
    <row r="711" spans="2:5" ht="12.5">
      <c r="B711" s="47"/>
      <c r="E711" s="48"/>
    </row>
    <row r="712" spans="2:5" ht="12.5">
      <c r="B712" s="47"/>
      <c r="E712" s="48"/>
    </row>
    <row r="713" spans="2:5" ht="12.5">
      <c r="B713" s="47"/>
      <c r="E713" s="48"/>
    </row>
    <row r="714" spans="2:5" ht="12.5">
      <c r="B714" s="47"/>
      <c r="E714" s="48"/>
    </row>
    <row r="715" spans="2:5" ht="12.5">
      <c r="B715" s="47"/>
      <c r="E715" s="48"/>
    </row>
    <row r="716" spans="2:5" ht="12.5">
      <c r="B716" s="47"/>
      <c r="E716" s="48"/>
    </row>
    <row r="717" spans="2:5" ht="12.5">
      <c r="B717" s="47"/>
      <c r="E717" s="48"/>
    </row>
    <row r="718" spans="2:5" ht="12.5">
      <c r="B718" s="47"/>
      <c r="E718" s="48"/>
    </row>
    <row r="719" spans="2:5" ht="12.5">
      <c r="B719" s="47"/>
      <c r="E719" s="48"/>
    </row>
    <row r="720" spans="2:5" ht="12.5">
      <c r="B720" s="47"/>
      <c r="E720" s="48"/>
    </row>
    <row r="721" spans="2:5" ht="12.5">
      <c r="B721" s="47"/>
      <c r="E721" s="48"/>
    </row>
    <row r="722" spans="2:5" ht="12.5">
      <c r="B722" s="47"/>
      <c r="E722" s="48"/>
    </row>
    <row r="723" spans="2:5" ht="12.5">
      <c r="B723" s="47"/>
      <c r="E723" s="48"/>
    </row>
    <row r="724" spans="2:5" ht="12.5">
      <c r="B724" s="47"/>
      <c r="E724" s="48"/>
    </row>
    <row r="725" spans="2:5" ht="12.5">
      <c r="B725" s="47"/>
      <c r="E725" s="48"/>
    </row>
    <row r="726" spans="2:5" ht="12.5">
      <c r="B726" s="47"/>
      <c r="E726" s="48"/>
    </row>
    <row r="727" spans="2:5" ht="12.5">
      <c r="B727" s="47"/>
      <c r="E727" s="48"/>
    </row>
    <row r="728" spans="2:5" ht="12.5">
      <c r="B728" s="47"/>
      <c r="E728" s="48"/>
    </row>
    <row r="729" spans="2:5" ht="12.5">
      <c r="B729" s="47"/>
      <c r="E729" s="48"/>
    </row>
    <row r="730" spans="2:5" ht="12.5">
      <c r="B730" s="47"/>
      <c r="E730" s="48"/>
    </row>
    <row r="731" spans="2:5" ht="12.5">
      <c r="B731" s="47"/>
      <c r="E731" s="48"/>
    </row>
    <row r="732" spans="2:5" ht="12.5">
      <c r="B732" s="47"/>
      <c r="E732" s="48"/>
    </row>
    <row r="733" spans="2:5" ht="12.5">
      <c r="B733" s="47"/>
      <c r="E733" s="48"/>
    </row>
    <row r="734" spans="2:5" ht="12.5">
      <c r="B734" s="47"/>
      <c r="E734" s="48"/>
    </row>
    <row r="735" spans="2:5" ht="12.5">
      <c r="B735" s="47"/>
      <c r="E735" s="48"/>
    </row>
    <row r="736" spans="2:5" ht="12.5">
      <c r="B736" s="47"/>
      <c r="E736" s="48"/>
    </row>
    <row r="737" spans="2:5" ht="12.5">
      <c r="B737" s="47"/>
      <c r="E737" s="48"/>
    </row>
    <row r="738" spans="2:5" ht="12.5">
      <c r="B738" s="47"/>
      <c r="E738" s="48"/>
    </row>
    <row r="739" spans="2:5" ht="12.5">
      <c r="B739" s="47"/>
      <c r="E739" s="48"/>
    </row>
    <row r="740" spans="2:5" ht="12.5">
      <c r="B740" s="47"/>
      <c r="E740" s="48"/>
    </row>
    <row r="741" spans="2:5" ht="12.5">
      <c r="B741" s="47"/>
      <c r="E741" s="48"/>
    </row>
    <row r="742" spans="2:5" ht="12.5">
      <c r="B742" s="47"/>
      <c r="E742" s="48"/>
    </row>
    <row r="743" spans="2:5" ht="12.5">
      <c r="B743" s="47"/>
      <c r="E743" s="48"/>
    </row>
    <row r="744" spans="2:5" ht="12.5">
      <c r="B744" s="47"/>
      <c r="E744" s="48"/>
    </row>
    <row r="745" spans="2:5" ht="12.5">
      <c r="B745" s="47"/>
      <c r="E745" s="48"/>
    </row>
    <row r="746" spans="2:5" ht="12.5">
      <c r="B746" s="47"/>
      <c r="E746" s="48"/>
    </row>
    <row r="747" spans="2:5" ht="12.5">
      <c r="B747" s="47"/>
      <c r="E747" s="48"/>
    </row>
    <row r="748" spans="2:5" ht="12.5">
      <c r="B748" s="47"/>
      <c r="E748" s="48"/>
    </row>
    <row r="749" spans="2:5" ht="12.5">
      <c r="B749" s="47"/>
      <c r="E749" s="48"/>
    </row>
    <row r="750" spans="2:5" ht="12.5">
      <c r="B750" s="47"/>
      <c r="E750" s="48"/>
    </row>
    <row r="751" spans="2:5" ht="12.5">
      <c r="B751" s="47"/>
      <c r="E751" s="48"/>
    </row>
    <row r="752" spans="2:5" ht="12.5">
      <c r="B752" s="47"/>
      <c r="E752" s="48"/>
    </row>
    <row r="753" spans="2:5" ht="12.5">
      <c r="B753" s="47"/>
      <c r="E753" s="48"/>
    </row>
    <row r="754" spans="2:5" ht="12.5">
      <c r="B754" s="47"/>
      <c r="E754" s="48"/>
    </row>
    <row r="755" spans="2:5" ht="12.5">
      <c r="B755" s="47"/>
      <c r="E755" s="48"/>
    </row>
    <row r="756" spans="2:5" ht="12.5">
      <c r="B756" s="47"/>
      <c r="E756" s="48"/>
    </row>
    <row r="757" spans="2:5" ht="12.5">
      <c r="B757" s="47"/>
      <c r="E757" s="48"/>
    </row>
    <row r="758" spans="2:5" ht="12.5">
      <c r="B758" s="47"/>
      <c r="E758" s="48"/>
    </row>
    <row r="759" spans="2:5" ht="12.5">
      <c r="B759" s="47"/>
      <c r="E759" s="48"/>
    </row>
    <row r="760" spans="2:5" ht="12.5">
      <c r="B760" s="47"/>
      <c r="E760" s="48"/>
    </row>
    <row r="761" spans="2:5" ht="12.5">
      <c r="B761" s="47"/>
      <c r="E761" s="48"/>
    </row>
    <row r="762" spans="2:5" ht="12.5">
      <c r="B762" s="47"/>
      <c r="E762" s="48"/>
    </row>
    <row r="763" spans="2:5" ht="12.5">
      <c r="B763" s="47"/>
      <c r="E763" s="48"/>
    </row>
    <row r="764" spans="2:5" ht="12.5">
      <c r="B764" s="47"/>
      <c r="E764" s="48"/>
    </row>
    <row r="765" spans="2:5" ht="12.5">
      <c r="B765" s="47"/>
      <c r="E765" s="48"/>
    </row>
    <row r="766" spans="2:5" ht="12.5">
      <c r="B766" s="47"/>
      <c r="E766" s="48"/>
    </row>
    <row r="767" spans="2:5" ht="12.5">
      <c r="B767" s="47"/>
      <c r="E767" s="48"/>
    </row>
    <row r="768" spans="2:5" ht="12.5">
      <c r="B768" s="47"/>
      <c r="E768" s="48"/>
    </row>
    <row r="769" spans="2:5" ht="12.5">
      <c r="B769" s="47"/>
      <c r="E769" s="48"/>
    </row>
    <row r="770" spans="2:5" ht="12.5">
      <c r="B770" s="47"/>
      <c r="E770" s="48"/>
    </row>
    <row r="771" spans="2:5" ht="12.5">
      <c r="B771" s="47"/>
      <c r="E771" s="48"/>
    </row>
    <row r="772" spans="2:5" ht="12.5">
      <c r="B772" s="47"/>
      <c r="E772" s="48"/>
    </row>
    <row r="773" spans="2:5" ht="12.5">
      <c r="B773" s="47"/>
      <c r="E773" s="48"/>
    </row>
    <row r="774" spans="2:5" ht="12.5">
      <c r="B774" s="47"/>
      <c r="E774" s="48"/>
    </row>
    <row r="775" spans="2:5" ht="12.5">
      <c r="B775" s="47"/>
      <c r="E775" s="48"/>
    </row>
    <row r="776" spans="2:5" ht="12.5">
      <c r="B776" s="47"/>
      <c r="E776" s="48"/>
    </row>
    <row r="777" spans="2:5" ht="12.5">
      <c r="B777" s="47"/>
      <c r="E777" s="48"/>
    </row>
    <row r="778" spans="2:5" ht="12.5">
      <c r="B778" s="47"/>
      <c r="E778" s="48"/>
    </row>
    <row r="779" spans="2:5" ht="12.5">
      <c r="B779" s="47"/>
      <c r="E779" s="48"/>
    </row>
    <row r="780" spans="2:5" ht="12.5">
      <c r="B780" s="47"/>
      <c r="E780" s="48"/>
    </row>
    <row r="781" spans="2:5" ht="12.5">
      <c r="B781" s="47"/>
      <c r="E781" s="48"/>
    </row>
    <row r="782" spans="2:5" ht="12.5">
      <c r="B782" s="47"/>
      <c r="E782" s="48"/>
    </row>
    <row r="783" spans="2:5" ht="12.5">
      <c r="B783" s="47"/>
      <c r="E783" s="48"/>
    </row>
    <row r="784" spans="2:5" ht="12.5">
      <c r="B784" s="47"/>
      <c r="E784" s="48"/>
    </row>
    <row r="785" spans="2:5" ht="12.5">
      <c r="B785" s="47"/>
      <c r="E785" s="48"/>
    </row>
    <row r="786" spans="2:5" ht="12.5">
      <c r="B786" s="47"/>
      <c r="E786" s="48"/>
    </row>
    <row r="787" spans="2:5" ht="12.5">
      <c r="B787" s="47"/>
      <c r="E787" s="48"/>
    </row>
    <row r="788" spans="2:5" ht="12.5">
      <c r="B788" s="47"/>
      <c r="E788" s="48"/>
    </row>
    <row r="789" spans="2:5" ht="12.5">
      <c r="B789" s="47"/>
      <c r="E789" s="48"/>
    </row>
    <row r="790" spans="2:5" ht="12.5">
      <c r="B790" s="47"/>
      <c r="E790" s="48"/>
    </row>
    <row r="791" spans="2:5" ht="12.5">
      <c r="B791" s="47"/>
      <c r="E791" s="48"/>
    </row>
    <row r="792" spans="2:5" ht="12.5">
      <c r="B792" s="47"/>
      <c r="E792" s="48"/>
    </row>
    <row r="793" spans="2:5" ht="12.5">
      <c r="B793" s="47"/>
      <c r="E793" s="48"/>
    </row>
    <row r="794" spans="2:5" ht="12.5">
      <c r="B794" s="47"/>
      <c r="E794" s="48"/>
    </row>
    <row r="795" spans="2:5" ht="12.5">
      <c r="B795" s="47"/>
      <c r="E795" s="48"/>
    </row>
    <row r="796" spans="2:5" ht="12.5">
      <c r="B796" s="47"/>
      <c r="E796" s="48"/>
    </row>
    <row r="797" spans="2:5" ht="12.5">
      <c r="B797" s="47"/>
      <c r="E797" s="48"/>
    </row>
    <row r="798" spans="2:5" ht="12.5">
      <c r="B798" s="47"/>
      <c r="E798" s="48"/>
    </row>
    <row r="799" spans="2:5" ht="12.5">
      <c r="B799" s="47"/>
      <c r="E799" s="48"/>
    </row>
    <row r="800" spans="2:5" ht="12.5">
      <c r="B800" s="47"/>
      <c r="E800" s="48"/>
    </row>
    <row r="801" spans="2:5" ht="12.5">
      <c r="B801" s="47"/>
      <c r="E801" s="48"/>
    </row>
    <row r="802" spans="2:5" ht="12.5">
      <c r="B802" s="47"/>
      <c r="E802" s="48"/>
    </row>
    <row r="803" spans="2:5" ht="12.5">
      <c r="B803" s="47"/>
      <c r="E803" s="48"/>
    </row>
    <row r="804" spans="2:5" ht="12.5">
      <c r="B804" s="47"/>
      <c r="E804" s="48"/>
    </row>
    <row r="805" spans="2:5" ht="12.5">
      <c r="B805" s="47"/>
      <c r="E805" s="48"/>
    </row>
    <row r="806" spans="2:5" ht="12.5">
      <c r="B806" s="47"/>
      <c r="E806" s="48"/>
    </row>
    <row r="807" spans="2:5" ht="12.5">
      <c r="B807" s="47"/>
      <c r="E807" s="48"/>
    </row>
    <row r="808" spans="2:5" ht="12.5">
      <c r="B808" s="47"/>
      <c r="E808" s="48"/>
    </row>
    <row r="809" spans="2:5" ht="12.5">
      <c r="B809" s="47"/>
      <c r="E809" s="48"/>
    </row>
    <row r="810" spans="2:5" ht="12.5">
      <c r="B810" s="47"/>
      <c r="E810" s="48"/>
    </row>
    <row r="811" spans="2:5" ht="12.5">
      <c r="B811" s="47"/>
      <c r="E811" s="48"/>
    </row>
    <row r="812" spans="2:5" ht="12.5">
      <c r="B812" s="47"/>
      <c r="E812" s="48"/>
    </row>
    <row r="813" spans="2:5" ht="12.5">
      <c r="B813" s="47"/>
      <c r="E813" s="48"/>
    </row>
    <row r="814" spans="2:5" ht="12.5">
      <c r="B814" s="47"/>
      <c r="E814" s="48"/>
    </row>
    <row r="815" spans="2:5" ht="12.5">
      <c r="B815" s="47"/>
      <c r="E815" s="48"/>
    </row>
    <row r="816" spans="2:5" ht="12.5">
      <c r="B816" s="47"/>
      <c r="E816" s="48"/>
    </row>
    <row r="817" spans="2:5" ht="12.5">
      <c r="B817" s="47"/>
      <c r="E817" s="48"/>
    </row>
    <row r="818" spans="2:5" ht="12.5">
      <c r="B818" s="47"/>
      <c r="E818" s="48"/>
    </row>
    <row r="819" spans="2:5" ht="12.5">
      <c r="B819" s="47"/>
      <c r="E819" s="48"/>
    </row>
    <row r="820" spans="2:5" ht="12.5">
      <c r="B820" s="47"/>
      <c r="E820" s="48"/>
    </row>
    <row r="821" spans="2:5" ht="12.5">
      <c r="B821" s="47"/>
      <c r="E821" s="48"/>
    </row>
    <row r="822" spans="2:5" ht="12.5">
      <c r="B822" s="47"/>
      <c r="E822" s="48"/>
    </row>
    <row r="823" spans="2:5" ht="12.5">
      <c r="B823" s="47"/>
      <c r="E823" s="48"/>
    </row>
    <row r="824" spans="2:5" ht="12.5">
      <c r="B824" s="47"/>
      <c r="E824" s="48"/>
    </row>
    <row r="825" spans="2:5" ht="12.5">
      <c r="B825" s="47"/>
      <c r="E825" s="48"/>
    </row>
    <row r="826" spans="2:5" ht="12.5">
      <c r="B826" s="47"/>
      <c r="E826" s="48"/>
    </row>
    <row r="827" spans="2:5" ht="12.5">
      <c r="B827" s="47"/>
      <c r="E827" s="48"/>
    </row>
    <row r="828" spans="2:5" ht="12.5">
      <c r="B828" s="47"/>
      <c r="E828" s="48"/>
    </row>
    <row r="829" spans="2:5" ht="12.5">
      <c r="B829" s="47"/>
      <c r="E829" s="48"/>
    </row>
    <row r="830" spans="2:5" ht="12.5">
      <c r="B830" s="47"/>
      <c r="E830" s="48"/>
    </row>
    <row r="831" spans="2:5" ht="12.5">
      <c r="B831" s="47"/>
      <c r="E831" s="48"/>
    </row>
    <row r="832" spans="2:5" ht="12.5">
      <c r="B832" s="47"/>
      <c r="E832" s="48"/>
    </row>
    <row r="833" spans="2:5" ht="12.5">
      <c r="B833" s="47"/>
      <c r="E833" s="48"/>
    </row>
    <row r="834" spans="2:5" ht="12.5">
      <c r="B834" s="47"/>
      <c r="E834" s="48"/>
    </row>
    <row r="835" spans="2:5" ht="12.5">
      <c r="B835" s="47"/>
      <c r="E835" s="48"/>
    </row>
    <row r="836" spans="2:5" ht="12.5">
      <c r="B836" s="47"/>
      <c r="E836" s="48"/>
    </row>
    <row r="837" spans="2:5" ht="12.5">
      <c r="B837" s="47"/>
      <c r="E837" s="48"/>
    </row>
    <row r="838" spans="2:5" ht="12.5">
      <c r="B838" s="47"/>
      <c r="E838" s="48"/>
    </row>
    <row r="839" spans="2:5" ht="12.5">
      <c r="B839" s="47"/>
      <c r="E839" s="48"/>
    </row>
    <row r="840" spans="2:5" ht="12.5">
      <c r="B840" s="47"/>
      <c r="E840" s="48"/>
    </row>
    <row r="841" spans="2:5" ht="12.5">
      <c r="B841" s="47"/>
      <c r="E841" s="48"/>
    </row>
    <row r="842" spans="2:5" ht="12.5">
      <c r="B842" s="47"/>
      <c r="E842" s="48"/>
    </row>
    <row r="843" spans="2:5" ht="12.5">
      <c r="B843" s="47"/>
      <c r="E843" s="48"/>
    </row>
    <row r="844" spans="2:5" ht="12.5">
      <c r="B844" s="47"/>
      <c r="E844" s="48"/>
    </row>
    <row r="845" spans="2:5" ht="12.5">
      <c r="B845" s="47"/>
      <c r="E845" s="48"/>
    </row>
    <row r="846" spans="2:5" ht="12.5">
      <c r="B846" s="47"/>
      <c r="E846" s="48"/>
    </row>
    <row r="847" spans="2:5" ht="12.5">
      <c r="B847" s="47"/>
      <c r="E847" s="48"/>
    </row>
    <row r="848" spans="2:5" ht="12.5">
      <c r="B848" s="47"/>
      <c r="E848" s="48"/>
    </row>
    <row r="849" spans="2:5" ht="12.5">
      <c r="B849" s="47"/>
      <c r="E849" s="48"/>
    </row>
    <row r="850" spans="2:5" ht="12.5">
      <c r="B850" s="47"/>
      <c r="E850" s="48"/>
    </row>
    <row r="851" spans="2:5" ht="12.5">
      <c r="B851" s="47"/>
      <c r="E851" s="48"/>
    </row>
    <row r="852" spans="2:5" ht="12.5">
      <c r="B852" s="47"/>
      <c r="E852" s="48"/>
    </row>
    <row r="853" spans="2:5" ht="12.5">
      <c r="B853" s="47"/>
      <c r="E853" s="48"/>
    </row>
    <row r="854" spans="2:5" ht="12.5">
      <c r="B854" s="47"/>
      <c r="E854" s="48"/>
    </row>
    <row r="855" spans="2:5" ht="12.5">
      <c r="B855" s="47"/>
      <c r="E855" s="48"/>
    </row>
    <row r="856" spans="2:5" ht="12.5">
      <c r="B856" s="47"/>
      <c r="E856" s="48"/>
    </row>
    <row r="857" spans="2:5" ht="12.5">
      <c r="B857" s="47"/>
      <c r="E857" s="48"/>
    </row>
    <row r="858" spans="2:5" ht="12.5">
      <c r="B858" s="47"/>
      <c r="E858" s="48"/>
    </row>
    <row r="859" spans="2:5" ht="12.5">
      <c r="B859" s="47"/>
      <c r="E859" s="48"/>
    </row>
    <row r="860" spans="2:5" ht="12.5">
      <c r="B860" s="47"/>
      <c r="E860" s="48"/>
    </row>
    <row r="861" spans="2:5" ht="12.5">
      <c r="B861" s="47"/>
      <c r="E861" s="48"/>
    </row>
    <row r="862" spans="2:5" ht="12.5">
      <c r="B862" s="47"/>
      <c r="E862" s="48"/>
    </row>
    <row r="863" spans="2:5" ht="12.5">
      <c r="B863" s="47"/>
      <c r="E863" s="48"/>
    </row>
    <row r="864" spans="2:5" ht="12.5">
      <c r="B864" s="47"/>
      <c r="E864" s="48"/>
    </row>
    <row r="865" spans="2:5" ht="12.5">
      <c r="B865" s="47"/>
      <c r="E865" s="48"/>
    </row>
    <row r="866" spans="2:5" ht="12.5">
      <c r="B866" s="47"/>
      <c r="E866" s="48"/>
    </row>
    <row r="867" spans="2:5" ht="12.5">
      <c r="B867" s="47"/>
      <c r="E867" s="48"/>
    </row>
    <row r="868" spans="2:5" ht="12.5">
      <c r="B868" s="47"/>
      <c r="E868" s="48"/>
    </row>
    <row r="869" spans="2:5" ht="12.5">
      <c r="B869" s="47"/>
      <c r="E869" s="48"/>
    </row>
    <row r="870" spans="2:5" ht="12.5">
      <c r="B870" s="47"/>
      <c r="E870" s="48"/>
    </row>
    <row r="871" spans="2:5" ht="12.5">
      <c r="B871" s="47"/>
      <c r="E871" s="48"/>
    </row>
    <row r="872" spans="2:5" ht="12.5">
      <c r="B872" s="47"/>
      <c r="E872" s="48"/>
    </row>
    <row r="873" spans="2:5" ht="12.5">
      <c r="B873" s="47"/>
      <c r="E873" s="48"/>
    </row>
    <row r="874" spans="2:5" ht="12.5">
      <c r="B874" s="47"/>
      <c r="E874" s="48"/>
    </row>
    <row r="875" spans="2:5" ht="12.5">
      <c r="B875" s="47"/>
      <c r="E875" s="48"/>
    </row>
    <row r="876" spans="2:5" ht="12.5">
      <c r="B876" s="47"/>
      <c r="E876" s="48"/>
    </row>
    <row r="877" spans="2:5" ht="12.5">
      <c r="B877" s="47"/>
      <c r="E877" s="48"/>
    </row>
    <row r="878" spans="2:5" ht="12.5">
      <c r="B878" s="47"/>
      <c r="E878" s="48"/>
    </row>
    <row r="879" spans="2:5" ht="12.5">
      <c r="B879" s="47"/>
      <c r="E879" s="48"/>
    </row>
    <row r="880" spans="2:5" ht="12.5">
      <c r="B880" s="47"/>
      <c r="E880" s="48"/>
    </row>
    <row r="881" spans="2:5" ht="12.5">
      <c r="B881" s="47"/>
      <c r="E881" s="48"/>
    </row>
    <row r="882" spans="2:5" ht="12.5">
      <c r="B882" s="47"/>
      <c r="E882" s="48"/>
    </row>
    <row r="883" spans="2:5" ht="12.5">
      <c r="B883" s="47"/>
      <c r="E883" s="48"/>
    </row>
    <row r="884" spans="2:5" ht="12.5">
      <c r="B884" s="47"/>
      <c r="E884" s="48"/>
    </row>
    <row r="885" spans="2:5" ht="12.5">
      <c r="B885" s="47"/>
      <c r="E885" s="48"/>
    </row>
    <row r="886" spans="2:5" ht="12.5">
      <c r="B886" s="47"/>
      <c r="E886" s="48"/>
    </row>
    <row r="887" spans="2:5" ht="12.5">
      <c r="B887" s="47"/>
      <c r="E887" s="48"/>
    </row>
    <row r="888" spans="2:5" ht="12.5">
      <c r="B888" s="47"/>
      <c r="E888" s="48"/>
    </row>
    <row r="889" spans="2:5" ht="12.5">
      <c r="B889" s="47"/>
      <c r="E889" s="48"/>
    </row>
    <row r="890" spans="2:5" ht="12.5">
      <c r="B890" s="47"/>
      <c r="E890" s="48"/>
    </row>
    <row r="891" spans="2:5" ht="12.5">
      <c r="B891" s="47"/>
      <c r="E891" s="48"/>
    </row>
    <row r="892" spans="2:5" ht="12.5">
      <c r="B892" s="47"/>
      <c r="E892" s="48"/>
    </row>
    <row r="893" spans="2:5" ht="12.5">
      <c r="B893" s="47"/>
      <c r="E893" s="48"/>
    </row>
    <row r="894" spans="2:5" ht="12.5">
      <c r="B894" s="47"/>
      <c r="E894" s="48"/>
    </row>
    <row r="895" spans="2:5" ht="12.5">
      <c r="B895" s="47"/>
      <c r="E895" s="48"/>
    </row>
    <row r="896" spans="2:5" ht="12.5">
      <c r="B896" s="47"/>
      <c r="E896" s="48"/>
    </row>
    <row r="897" spans="2:5" ht="12.5">
      <c r="B897" s="47"/>
      <c r="E897" s="48"/>
    </row>
    <row r="898" spans="2:5" ht="12.5">
      <c r="B898" s="47"/>
      <c r="E898" s="48"/>
    </row>
    <row r="899" spans="2:5" ht="12.5">
      <c r="B899" s="47"/>
      <c r="E899" s="48"/>
    </row>
    <row r="900" spans="2:5" ht="12.5">
      <c r="B900" s="47"/>
      <c r="E900" s="48"/>
    </row>
    <row r="901" spans="2:5" ht="12.5">
      <c r="B901" s="47"/>
      <c r="E901" s="48"/>
    </row>
    <row r="902" spans="2:5" ht="12.5">
      <c r="B902" s="47"/>
      <c r="E902" s="48"/>
    </row>
    <row r="903" spans="2:5" ht="12.5">
      <c r="B903" s="47"/>
      <c r="E903" s="48"/>
    </row>
    <row r="904" spans="2:5" ht="12.5">
      <c r="B904" s="47"/>
      <c r="E904" s="48"/>
    </row>
    <row r="905" spans="2:5" ht="12.5">
      <c r="B905" s="47"/>
      <c r="E905" s="48"/>
    </row>
    <row r="906" spans="2:5" ht="12.5">
      <c r="B906" s="47"/>
      <c r="E906" s="48"/>
    </row>
    <row r="907" spans="2:5" ht="12.5">
      <c r="B907" s="47"/>
      <c r="E907" s="48"/>
    </row>
    <row r="908" spans="2:5" ht="12.5">
      <c r="B908" s="47"/>
      <c r="E908" s="48"/>
    </row>
    <row r="909" spans="2:5" ht="12.5">
      <c r="B909" s="47"/>
      <c r="E909" s="48"/>
    </row>
    <row r="910" spans="2:5" ht="12.5">
      <c r="B910" s="47"/>
      <c r="E910" s="48"/>
    </row>
    <row r="911" spans="2:5" ht="12.5">
      <c r="B911" s="47"/>
      <c r="E911" s="48"/>
    </row>
    <row r="912" spans="2:5" ht="12.5">
      <c r="B912" s="47"/>
      <c r="E912" s="48"/>
    </row>
    <row r="913" spans="2:5" ht="12.5">
      <c r="B913" s="47"/>
      <c r="E913" s="48"/>
    </row>
    <row r="914" spans="2:5" ht="12.5">
      <c r="B914" s="47"/>
      <c r="E914" s="48"/>
    </row>
    <row r="915" spans="2:5" ht="12.5">
      <c r="B915" s="47"/>
      <c r="E915" s="48"/>
    </row>
    <row r="916" spans="2:5" ht="12.5">
      <c r="B916" s="47"/>
      <c r="E916" s="48"/>
    </row>
    <row r="917" spans="2:5" ht="12.5">
      <c r="B917" s="47"/>
      <c r="E917" s="48"/>
    </row>
    <row r="918" spans="2:5" ht="12.5">
      <c r="B918" s="47"/>
      <c r="E918" s="48"/>
    </row>
    <row r="919" spans="2:5" ht="12.5">
      <c r="B919" s="47"/>
      <c r="E919" s="48"/>
    </row>
    <row r="920" spans="2:5" ht="12.5">
      <c r="B920" s="47"/>
      <c r="E920" s="48"/>
    </row>
    <row r="921" spans="2:5" ht="12.5">
      <c r="B921" s="47"/>
      <c r="E921" s="48"/>
    </row>
    <row r="922" spans="2:5" ht="12.5">
      <c r="B922" s="47"/>
      <c r="E922" s="48"/>
    </row>
    <row r="923" spans="2:5" ht="12.5">
      <c r="B923" s="47"/>
      <c r="E923" s="48"/>
    </row>
    <row r="924" spans="2:5" ht="12.5">
      <c r="B924" s="47"/>
      <c r="E924" s="48"/>
    </row>
    <row r="925" spans="2:5" ht="12.5">
      <c r="B925" s="47"/>
      <c r="E925" s="48"/>
    </row>
    <row r="926" spans="2:5" ht="12.5">
      <c r="B926" s="47"/>
      <c r="E926" s="48"/>
    </row>
    <row r="927" spans="2:5" ht="12.5">
      <c r="B927" s="47"/>
      <c r="E927" s="48"/>
    </row>
    <row r="928" spans="2:5" ht="12.5">
      <c r="B928" s="47"/>
      <c r="E928" s="48"/>
    </row>
    <row r="929" spans="2:5" ht="12.5">
      <c r="B929" s="47"/>
      <c r="E929" s="48"/>
    </row>
    <row r="930" spans="2:5" ht="12.5">
      <c r="B930" s="47"/>
      <c r="E930" s="48"/>
    </row>
    <row r="931" spans="2:5" ht="12.5">
      <c r="B931" s="47"/>
      <c r="E931" s="48"/>
    </row>
    <row r="932" spans="2:5" ht="12.5">
      <c r="B932" s="47"/>
      <c r="E932" s="48"/>
    </row>
    <row r="933" spans="2:5" ht="12.5">
      <c r="B933" s="47"/>
      <c r="E933" s="48"/>
    </row>
    <row r="934" spans="2:5" ht="12.5">
      <c r="B934" s="47"/>
      <c r="E934" s="48"/>
    </row>
    <row r="935" spans="2:5" ht="12.5">
      <c r="B935" s="47"/>
      <c r="E935" s="48"/>
    </row>
    <row r="936" spans="2:5" ht="12.5">
      <c r="B936" s="47"/>
      <c r="E936" s="48"/>
    </row>
    <row r="937" spans="2:5" ht="12.5">
      <c r="B937" s="47"/>
      <c r="E937" s="48"/>
    </row>
    <row r="938" spans="2:5" ht="12.5">
      <c r="B938" s="47"/>
      <c r="E938" s="48"/>
    </row>
    <row r="939" spans="2:5" ht="12.5">
      <c r="B939" s="47"/>
      <c r="E939" s="48"/>
    </row>
    <row r="940" spans="2:5" ht="12.5">
      <c r="B940" s="47"/>
      <c r="E940" s="48"/>
    </row>
    <row r="941" spans="2:5" ht="12.5">
      <c r="B941" s="47"/>
      <c r="E941" s="48"/>
    </row>
    <row r="942" spans="2:5" ht="12.5">
      <c r="B942" s="47"/>
      <c r="E942" s="48"/>
    </row>
    <row r="943" spans="2:5" ht="12.5">
      <c r="B943" s="47"/>
      <c r="E943" s="48"/>
    </row>
    <row r="944" spans="2:5" ht="12.5">
      <c r="B944" s="47"/>
      <c r="E944" s="48"/>
    </row>
    <row r="945" spans="2:5" ht="12.5">
      <c r="B945" s="47"/>
      <c r="E945" s="48"/>
    </row>
    <row r="946" spans="2:5" ht="12.5">
      <c r="B946" s="47"/>
      <c r="E946" s="48"/>
    </row>
    <row r="947" spans="2:5" ht="12.5">
      <c r="B947" s="47"/>
      <c r="E947" s="48"/>
    </row>
    <row r="948" spans="2:5" ht="12.5">
      <c r="B948" s="47"/>
      <c r="E948" s="48"/>
    </row>
    <row r="949" spans="2:5" ht="12.5">
      <c r="B949" s="47"/>
      <c r="E949" s="48"/>
    </row>
    <row r="950" spans="2:5" ht="12.5">
      <c r="B950" s="47"/>
      <c r="E950" s="48"/>
    </row>
    <row r="951" spans="2:5" ht="12.5">
      <c r="B951" s="47"/>
      <c r="E951" s="48"/>
    </row>
    <row r="952" spans="2:5" ht="12.5">
      <c r="B952" s="47"/>
      <c r="E952" s="48"/>
    </row>
    <row r="953" spans="2:5" ht="12.5">
      <c r="B953" s="47"/>
      <c r="E953" s="48"/>
    </row>
    <row r="954" spans="2:5" ht="12.5">
      <c r="B954" s="47"/>
      <c r="E954" s="48"/>
    </row>
    <row r="955" spans="2:5" ht="12.5">
      <c r="B955" s="47"/>
      <c r="E955" s="48"/>
    </row>
    <row r="956" spans="2:5" ht="12.5">
      <c r="B956" s="47"/>
      <c r="E956" s="48"/>
    </row>
    <row r="957" spans="2:5" ht="12.5">
      <c r="B957" s="47"/>
      <c r="E957" s="48"/>
    </row>
    <row r="958" spans="2:5" ht="12.5">
      <c r="B958" s="47"/>
      <c r="E958" s="48"/>
    </row>
    <row r="959" spans="2:5" ht="12.5">
      <c r="B959" s="47"/>
      <c r="E959" s="48"/>
    </row>
    <row r="960" spans="2:5" ht="12.5">
      <c r="B960" s="47"/>
      <c r="E960" s="48"/>
    </row>
    <row r="961" spans="2:5" ht="12.5">
      <c r="B961" s="47"/>
      <c r="E961" s="48"/>
    </row>
    <row r="962" spans="2:5" ht="12.5">
      <c r="B962" s="47"/>
      <c r="E962" s="48"/>
    </row>
    <row r="963" spans="2:5" ht="12.5">
      <c r="B963" s="47"/>
      <c r="E963" s="48"/>
    </row>
    <row r="964" spans="2:5" ht="12.5">
      <c r="B964" s="47"/>
      <c r="E964" s="48"/>
    </row>
    <row r="965" spans="2:5" ht="12.5">
      <c r="B965" s="47"/>
      <c r="E965" s="48"/>
    </row>
    <row r="966" spans="2:5" ht="12.5">
      <c r="B966" s="47"/>
      <c r="E966" s="48"/>
    </row>
    <row r="967" spans="2:5" ht="12.5">
      <c r="B967" s="47"/>
      <c r="E967" s="48"/>
    </row>
    <row r="968" spans="2:5" ht="12.5">
      <c r="B968" s="47"/>
      <c r="E968" s="48"/>
    </row>
    <row r="969" spans="2:5" ht="12.5">
      <c r="B969" s="47"/>
      <c r="E969" s="48"/>
    </row>
    <row r="970" spans="2:5" ht="12.5">
      <c r="B970" s="47"/>
      <c r="E970" s="48"/>
    </row>
    <row r="971" spans="2:5" ht="12.5">
      <c r="B971" s="47"/>
      <c r="E971" s="48"/>
    </row>
    <row r="972" spans="2:5" ht="12.5">
      <c r="B972" s="47"/>
      <c r="E972" s="48"/>
    </row>
    <row r="973" spans="2:5" ht="12.5">
      <c r="B973" s="47"/>
      <c r="E973" s="48"/>
    </row>
    <row r="974" spans="2:5" ht="12.5">
      <c r="B974" s="47"/>
      <c r="E974" s="48"/>
    </row>
    <row r="975" spans="2:5" ht="12.5">
      <c r="B975" s="47"/>
      <c r="E975" s="48"/>
    </row>
    <row r="976" spans="2:5" ht="12.5">
      <c r="B976" s="47"/>
      <c r="E976" s="48"/>
    </row>
    <row r="977" spans="2:5" ht="12.5">
      <c r="B977" s="47"/>
      <c r="E977" s="48"/>
    </row>
    <row r="978" spans="2:5" ht="12.5">
      <c r="B978" s="47"/>
      <c r="E978" s="48"/>
    </row>
    <row r="979" spans="2:5" ht="12.5">
      <c r="B979" s="47"/>
      <c r="E979" s="48"/>
    </row>
    <row r="980" spans="2:5" ht="12.5">
      <c r="B980" s="47"/>
      <c r="E980" s="48"/>
    </row>
    <row r="981" spans="2:5" ht="12.5">
      <c r="B981" s="47"/>
      <c r="E981" s="48"/>
    </row>
    <row r="982" spans="2:5" ht="12.5">
      <c r="B982" s="47"/>
      <c r="E982" s="48"/>
    </row>
    <row r="983" spans="2:5" ht="12.5">
      <c r="B983" s="47"/>
      <c r="E983" s="48"/>
    </row>
    <row r="984" spans="2:5" ht="12.5">
      <c r="B984" s="47"/>
      <c r="E984" s="48"/>
    </row>
    <row r="985" spans="2:5" ht="12.5">
      <c r="B985" s="47"/>
      <c r="E985" s="48"/>
    </row>
    <row r="986" spans="2:5" ht="12.5">
      <c r="B986" s="47"/>
      <c r="E986" s="48"/>
    </row>
    <row r="987" spans="2:5" ht="12.5">
      <c r="B987" s="47"/>
      <c r="E987" s="48"/>
    </row>
    <row r="988" spans="2:5" ht="12.5">
      <c r="B988" s="47"/>
      <c r="E988" s="48"/>
    </row>
    <row r="989" spans="2:5" ht="12.5">
      <c r="B989" s="47"/>
      <c r="E989" s="48"/>
    </row>
    <row r="990" spans="2:5" ht="12.5">
      <c r="B990" s="47"/>
      <c r="E990" s="48"/>
    </row>
    <row r="991" spans="2:5" ht="12.5">
      <c r="B991" s="47"/>
      <c r="E991" s="48"/>
    </row>
    <row r="992" spans="2:5" ht="12.5">
      <c r="B992" s="47"/>
      <c r="E992" s="48"/>
    </row>
    <row r="993" spans="2:5" ht="12.5">
      <c r="B993" s="47"/>
      <c r="E993" s="48"/>
    </row>
    <row r="994" spans="2:5" ht="12.5">
      <c r="B994" s="47"/>
      <c r="E994" s="48"/>
    </row>
    <row r="995" spans="2:5" ht="12.5">
      <c r="B995" s="47"/>
      <c r="E995" s="48"/>
    </row>
    <row r="996" spans="2:5" ht="12.5">
      <c r="B996" s="47"/>
      <c r="E996" s="48"/>
    </row>
    <row r="997" spans="2:5" ht="12.5">
      <c r="B997" s="47"/>
      <c r="E997" s="48"/>
    </row>
    <row r="998" spans="2:5" ht="12.5">
      <c r="B998" s="47"/>
      <c r="E998" s="48"/>
    </row>
    <row r="999" spans="2:5" ht="12.5">
      <c r="B999" s="47"/>
      <c r="E999" s="48"/>
    </row>
    <row r="1000" spans="2:5" ht="12.5">
      <c r="B1000" s="47"/>
      <c r="E1000" s="48"/>
    </row>
  </sheetData>
  <mergeCells count="1">
    <mergeCell ref="J2:K2"/>
  </mergeCells>
  <hyperlinks>
    <hyperlink ref="H2" location="'Main Dashboard'!A1" display="Click for the Main Dashboard" xr:uid="{00000000-0004-0000-0300-000000000000}"/>
    <hyperlink ref="H7" location="'Helper Data'!A1" display="Click for All Names" xr:uid="{00000000-0004-0000-0300-000001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Dashboard</vt:lpstr>
      <vt:lpstr>Helper Data</vt:lpstr>
      <vt:lpstr>February 23, 2026</vt:lpstr>
      <vt:lpstr>February 26,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Himongala</cp:lastModifiedBy>
  <dcterms:created xsi:type="dcterms:W3CDTF">2026-03-13T03:38:05Z</dcterms:created>
  <dcterms:modified xsi:type="dcterms:W3CDTF">2026-03-13T03:53:54Z</dcterms:modified>
</cp:coreProperties>
</file>